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6"/>
  </bookViews>
  <sheets>
    <sheet name="AlexNet" sheetId="1" state="visible" r:id="rId2"/>
    <sheet name="VGG-16" sheetId="2" state="visible" r:id="rId3"/>
    <sheet name="VGG-19" sheetId="3" state="visible" r:id="rId4"/>
    <sheet name="ResNet-V1-34(Plain)" sheetId="4" state="visible" r:id="rId5"/>
    <sheet name="ResNet-V1-34(Residual)" sheetId="5" state="visible" r:id="rId6"/>
    <sheet name="ResNet-V1-50(Residual)" sheetId="6" state="visible" r:id="rId7"/>
    <sheet name="Inception-V1" sheetId="7" state="visible" r:id="rId8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<sst xmlns="http://schemas.openxmlformats.org/spreadsheetml/2006/main" count="711" uniqueCount="227">
  <si>
    <t xml:space="preserve">Layer ID</t>
  </si>
  <si>
    <t xml:space="preserve">Type</t>
  </si>
  <si>
    <t xml:space="preserve">Patch Size (Height)</t>
  </si>
  <si>
    <t xml:space="preserve">Patch Size (Width)</t>
  </si>
  <si>
    <t xml:space="preserve">Stride (Height)</t>
  </si>
  <si>
    <t xml:space="preserve">Stride (Width)</t>
  </si>
  <si>
    <t xml:space="preserve">Padding</t>
  </si>
  <si>
    <t xml:space="preserve">Output Size (Height)</t>
  </si>
  <si>
    <t xml:space="preserve">Output Size (Width)</t>
  </si>
  <si>
    <t xml:space="preserve">Output Size (Channel)</t>
  </si>
  <si>
    <t xml:space="preserve">Memory</t>
  </si>
  <si>
    <t xml:space="preserve">Params</t>
  </si>
  <si>
    <t xml:space="preserve">FLOPs</t>
  </si>
  <si>
    <t xml:space="preserve">Ratio</t>
  </si>
  <si>
    <t xml:space="preserve">Comment</t>
  </si>
  <si>
    <t xml:space="preserve">Input</t>
  </si>
  <si>
    <t xml:space="preserve">Conv1_1</t>
  </si>
  <si>
    <t xml:space="preserve">?</t>
  </si>
  <si>
    <t xml:space="preserve">The padding is neither “SAME” nor “VALID”</t>
  </si>
  <si>
    <t xml:space="preserve">Local Response Norm</t>
  </si>
  <si>
    <t xml:space="preserve">Pool1</t>
  </si>
  <si>
    <t xml:space="preserve">'VALID’</t>
  </si>
  <si>
    <t xml:space="preserve">Conv2_1</t>
  </si>
  <si>
    <t xml:space="preserve">'SAME’</t>
  </si>
  <si>
    <t xml:space="preserve">Pool2</t>
  </si>
  <si>
    <t xml:space="preserve">Put half of the kernel of each GPU</t>
  </si>
  <si>
    <t xml:space="preserve">Conv3_1</t>
  </si>
  <si>
    <t xml:space="preserve">Conv3_2</t>
  </si>
  <si>
    <t xml:space="preserve">The Params is confusing</t>
  </si>
  <si>
    <t xml:space="preserve">Conv3_3</t>
  </si>
  <si>
    <t xml:space="preserve">Pool3</t>
  </si>
  <si>
    <t xml:space="preserve">FC1</t>
  </si>
  <si>
    <t xml:space="preserve">FC2</t>
  </si>
  <si>
    <t xml:space="preserve">FC3</t>
  </si>
  <si>
    <t xml:space="preserve">Total</t>
  </si>
  <si>
    <t xml:space="preserve">Conv1_2</t>
  </si>
  <si>
    <t xml:space="preserve">Conv2_2</t>
  </si>
  <si>
    <t xml:space="preserve">Conv4_1</t>
  </si>
  <si>
    <t xml:space="preserve">Conv4_2</t>
  </si>
  <si>
    <t xml:space="preserve">Conv4_3</t>
  </si>
  <si>
    <t xml:space="preserve">Pool4</t>
  </si>
  <si>
    <t xml:space="preserve">Pool5_1</t>
  </si>
  <si>
    <t xml:space="preserve">Pool5_2</t>
  </si>
  <si>
    <t xml:space="preserve">Pool5_3</t>
  </si>
  <si>
    <t xml:space="preserve">Pool6</t>
  </si>
  <si>
    <t xml:space="preserve">SoftMax</t>
  </si>
  <si>
    <t xml:space="preserve">Conv3_4</t>
  </si>
  <si>
    <t xml:space="preserve">Conv4_4</t>
  </si>
  <si>
    <t xml:space="preserve">Pool5_4</t>
  </si>
  <si>
    <t xml:space="preserve">Conv1</t>
  </si>
  <si>
    <t xml:space="preserve">Block1/Conv2</t>
  </si>
  <si>
    <t xml:space="preserve">Block1/Conv3</t>
  </si>
  <si>
    <t xml:space="preserve">Block1/Shortcut</t>
  </si>
  <si>
    <t xml:space="preserve">Block2/Conv4</t>
  </si>
  <si>
    <t xml:space="preserve">Block2/Conv5</t>
  </si>
  <si>
    <t xml:space="preserve">Block2/Shortcut</t>
  </si>
  <si>
    <t xml:space="preserve">Block3/Conv6</t>
  </si>
  <si>
    <t xml:space="preserve">Block3/Conv7</t>
  </si>
  <si>
    <t xml:space="preserve">Block3/Shortcut</t>
  </si>
  <si>
    <t xml:space="preserve">Block4/Conv8</t>
  </si>
  <si>
    <t xml:space="preserve">Block4/Conv9</t>
  </si>
  <si>
    <t xml:space="preserve">Block4/Shortcut</t>
  </si>
  <si>
    <t xml:space="preserve">Block5/Conv10</t>
  </si>
  <si>
    <t xml:space="preserve">Block5/Conv11</t>
  </si>
  <si>
    <t xml:space="preserve">Block5/Shortcut</t>
  </si>
  <si>
    <t xml:space="preserve">Block6/Conv12</t>
  </si>
  <si>
    <t xml:space="preserve">Block6/Conv13</t>
  </si>
  <si>
    <t xml:space="preserve">Block6/Shortcut</t>
  </si>
  <si>
    <t xml:space="preserve">Block7/Conv14</t>
  </si>
  <si>
    <t xml:space="preserve">Block7/Conv15</t>
  </si>
  <si>
    <t xml:space="preserve">Block7/Shortcut</t>
  </si>
  <si>
    <t xml:space="preserve">Block8/Conv16</t>
  </si>
  <si>
    <t xml:space="preserve">Block8/Conv17</t>
  </si>
  <si>
    <t xml:space="preserve">Block8/Shortcut</t>
  </si>
  <si>
    <t xml:space="preserve">Block9/Conv18</t>
  </si>
  <si>
    <t xml:space="preserve">Block9/Conv19</t>
  </si>
  <si>
    <t xml:space="preserve">Block9/Shortcut</t>
  </si>
  <si>
    <t xml:space="preserve">Block10/Conv20</t>
  </si>
  <si>
    <t xml:space="preserve">Block10/Conv21</t>
  </si>
  <si>
    <t xml:space="preserve">Block10/Shortcut</t>
  </si>
  <si>
    <t xml:space="preserve">Block11/Conv22</t>
  </si>
  <si>
    <t xml:space="preserve">Block11/Conv23</t>
  </si>
  <si>
    <t xml:space="preserve">Block11/Shortcut</t>
  </si>
  <si>
    <t xml:space="preserve">Block12/Conv24</t>
  </si>
  <si>
    <t xml:space="preserve">Block12/Conv25</t>
  </si>
  <si>
    <t xml:space="preserve">Block12/Shortcut</t>
  </si>
  <si>
    <t xml:space="preserve">Block13/Conv26</t>
  </si>
  <si>
    <t xml:space="preserve">Block13/Conv27</t>
  </si>
  <si>
    <t xml:space="preserve">Block13/Shortcut</t>
  </si>
  <si>
    <t xml:space="preserve">Block14/Conv28</t>
  </si>
  <si>
    <t xml:space="preserve">Block14/Conv29</t>
  </si>
  <si>
    <t xml:space="preserve">Block14/Shortcut</t>
  </si>
  <si>
    <t xml:space="preserve">Block15/Conv30</t>
  </si>
  <si>
    <t xml:space="preserve">Block15/Conv31</t>
  </si>
  <si>
    <t xml:space="preserve">Block15/Shortcut</t>
  </si>
  <si>
    <t xml:space="preserve">Block16/Conv32</t>
  </si>
  <si>
    <t xml:space="preserve">Block16/Conv33</t>
  </si>
  <si>
    <t xml:space="preserve">Block16/Shortcut</t>
  </si>
  <si>
    <t xml:space="preserve">avg pool</t>
  </si>
  <si>
    <t xml:space="preserve">Block1/Conv4</t>
  </si>
  <si>
    <t xml:space="preserve">Block2/Conv6</t>
  </si>
  <si>
    <t xml:space="preserve">Block2/Conv7</t>
  </si>
  <si>
    <t xml:space="preserve">Block3/Conv8</t>
  </si>
  <si>
    <t xml:space="preserve">Block3/Conv9</t>
  </si>
  <si>
    <t xml:space="preserve">Block3/Conv10</t>
  </si>
  <si>
    <t xml:space="preserve">Block4/Conv11</t>
  </si>
  <si>
    <t xml:space="preserve">Block4/Conv12</t>
  </si>
  <si>
    <t xml:space="preserve">Block4/Conv13</t>
  </si>
  <si>
    <t xml:space="preserve">Block5/Conv14</t>
  </si>
  <si>
    <t xml:space="preserve">Block5/Conv15</t>
  </si>
  <si>
    <t xml:space="preserve">Block5/Conv16</t>
  </si>
  <si>
    <t xml:space="preserve">Block6/Conv17</t>
  </si>
  <si>
    <t xml:space="preserve">Block6/Conv18</t>
  </si>
  <si>
    <t xml:space="preserve">Block6/Conv19</t>
  </si>
  <si>
    <t xml:space="preserve">Block7/Conv20</t>
  </si>
  <si>
    <t xml:space="preserve">Block7/Conv21</t>
  </si>
  <si>
    <t xml:space="preserve">Block7/Conv22</t>
  </si>
  <si>
    <t xml:space="preserve">Block8/Conv23</t>
  </si>
  <si>
    <t xml:space="preserve">Block8/Conv24</t>
  </si>
  <si>
    <t xml:space="preserve">Block8/Conv25</t>
  </si>
  <si>
    <t xml:space="preserve">Block9/Conv26</t>
  </si>
  <si>
    <t xml:space="preserve">Block9/Conv27</t>
  </si>
  <si>
    <t xml:space="preserve">Block9/Conv28</t>
  </si>
  <si>
    <t xml:space="preserve">Block10/Conv29</t>
  </si>
  <si>
    <t xml:space="preserve">Block10/Conv30</t>
  </si>
  <si>
    <t xml:space="preserve">Block10/Conv31</t>
  </si>
  <si>
    <t xml:space="preserve">Block11/Conv32</t>
  </si>
  <si>
    <t xml:space="preserve">Block11/Conv33</t>
  </si>
  <si>
    <t xml:space="preserve">Block11/Conv34</t>
  </si>
  <si>
    <t xml:space="preserve">Block12/Conv35</t>
  </si>
  <si>
    <t xml:space="preserve">Block12/Conv36</t>
  </si>
  <si>
    <t xml:space="preserve">Block12/Conv37</t>
  </si>
  <si>
    <t xml:space="preserve">Block13/Conv38</t>
  </si>
  <si>
    <t xml:space="preserve">Block13/Conv39</t>
  </si>
  <si>
    <t xml:space="preserve">Block13/Conv40</t>
  </si>
  <si>
    <t xml:space="preserve">Block14/Conv41</t>
  </si>
  <si>
    <t xml:space="preserve">Block14/Conv42</t>
  </si>
  <si>
    <t xml:space="preserve">Block14/Conv43</t>
  </si>
  <si>
    <t xml:space="preserve">Block15/Conv44</t>
  </si>
  <si>
    <t xml:space="preserve">Block15/Conv45</t>
  </si>
  <si>
    <t xml:space="preserve">Block15/Conv46</t>
  </si>
  <si>
    <t xml:space="preserve">Block16/Conv47</t>
  </si>
  <si>
    <t xml:space="preserve">Block16/Conv48</t>
  </si>
  <si>
    <t xml:space="preserve">Block16/Conv49</t>
  </si>
  <si>
    <t xml:space="preserve">Patch Size(Height)</t>
  </si>
  <si>
    <t xml:space="preserve">Single</t>
  </si>
  <si>
    <t xml:space="preserve">Sum</t>
  </si>
  <si>
    <t xml:space="preserve">Sum(K)</t>
  </si>
  <si>
    <t xml:space="preserve">Sum(M)</t>
  </si>
  <si>
    <t xml:space="preserve">Conv2</t>
  </si>
  <si>
    <t xml:space="preserve">Conv3</t>
  </si>
  <si>
    <t xml:space="preserve">Inception (3a)/Path1/Conv4</t>
  </si>
  <si>
    <t xml:space="preserve">Inception (3a)/Path2/Conv5</t>
  </si>
  <si>
    <t xml:space="preserve">Inception (3a)/Path2/Conv6</t>
  </si>
  <si>
    <t xml:space="preserve">Inception (3a)/Path3/Conv7</t>
  </si>
  <si>
    <t xml:space="preserve">Inception (3a)/Path3/Conv8</t>
  </si>
  <si>
    <t xml:space="preserve">Inception (3a)/Path4/Pool3</t>
  </si>
  <si>
    <t xml:space="preserve">Inception (3a)/Path4/Conv9</t>
  </si>
  <si>
    <t xml:space="preserve">Inception (3a)/DepthConcat</t>
  </si>
  <si>
    <t xml:space="preserve">Inception (3b)/Path1/Conv10</t>
  </si>
  <si>
    <t xml:space="preserve">Inception (3b)/Path2/Conv11</t>
  </si>
  <si>
    <t xml:space="preserve">Inception (3b)/Path2/Conv12</t>
  </si>
  <si>
    <t xml:space="preserve">Inception (3b)/Path3/Conv13</t>
  </si>
  <si>
    <t xml:space="preserve">Inception (3b)/Path3/Conv14</t>
  </si>
  <si>
    <t xml:space="preserve">Inception (3b)/Path4/Pool4</t>
  </si>
  <si>
    <t xml:space="preserve">Inception (3b)/Path4/Conv15</t>
  </si>
  <si>
    <t xml:space="preserve">Pool5</t>
  </si>
  <si>
    <t xml:space="preserve">Inception (4a)/Path1/Conv16</t>
  </si>
  <si>
    <t xml:space="preserve">Inception (4a)/Path2/Conv17</t>
  </si>
  <si>
    <t xml:space="preserve">Inception (4a)/Path2/Conv18</t>
  </si>
  <si>
    <t xml:space="preserve">Inception (4a)/Path3/Conv19</t>
  </si>
  <si>
    <t xml:space="preserve">Inception (4a)/Path3/Conv20</t>
  </si>
  <si>
    <t xml:space="preserve">Inception (4a)/Path4/Pool6</t>
  </si>
  <si>
    <t xml:space="preserve">Inception (4a)/Path4/Conv21</t>
  </si>
  <si>
    <t xml:space="preserve">Inception (4a)/DepthConcat</t>
  </si>
  <si>
    <t xml:space="preserve">Inception (4b)/Path1/Conv22</t>
  </si>
  <si>
    <t xml:space="preserve">Inception (4b)/Path2/Conv23</t>
  </si>
  <si>
    <t xml:space="preserve">Inception (4b)/Path2/Conv24</t>
  </si>
  <si>
    <t xml:space="preserve">Inception (4b)/Path3/Conv25</t>
  </si>
  <si>
    <t xml:space="preserve">Inception (4b)/Path3/Conv26</t>
  </si>
  <si>
    <t xml:space="preserve">Inception (4b)/Path4/Pool7</t>
  </si>
  <si>
    <t xml:space="preserve">Inception (4b)/Path4/Conv27</t>
  </si>
  <si>
    <t xml:space="preserve">Inception (4b)/DepthConcat</t>
  </si>
  <si>
    <t xml:space="preserve">Inception (4c)/Path1/Conv28</t>
  </si>
  <si>
    <t xml:space="preserve">Inception (4c)/Path2/Conv29</t>
  </si>
  <si>
    <t xml:space="preserve">Inception (4c)/Path2/Conv30</t>
  </si>
  <si>
    <t xml:space="preserve">Inception (4c)/Path3/Conv31</t>
  </si>
  <si>
    <t xml:space="preserve">Inception (4c)/Path3/Conv32</t>
  </si>
  <si>
    <t xml:space="preserve">Inception (4c)/Path4/Pool8</t>
  </si>
  <si>
    <t xml:space="preserve">Inception (4c)/Path4/Conv33</t>
  </si>
  <si>
    <t xml:space="preserve">Inception (4c)/DepthConcat</t>
  </si>
  <si>
    <t xml:space="preserve">Inception (4d)/Path1/Conv34</t>
  </si>
  <si>
    <t xml:space="preserve">Inception (4d)/Path2/Conv35</t>
  </si>
  <si>
    <t xml:space="preserve">Inception (4d)/Path2/Conv36</t>
  </si>
  <si>
    <t xml:space="preserve">Inception (4d)/Path3/Conv37</t>
  </si>
  <si>
    <t xml:space="preserve">Inception (4d)/Path3/Conv38</t>
  </si>
  <si>
    <t xml:space="preserve">Inception (4d)/Path4/Pool9</t>
  </si>
  <si>
    <t xml:space="preserve">Inception (4d)/Path4/Conv39</t>
  </si>
  <si>
    <t xml:space="preserve">Inception (4d)/DepthConcat</t>
  </si>
  <si>
    <t xml:space="preserve">Inception (4e)/Path1/Conv40</t>
  </si>
  <si>
    <t xml:space="preserve">Inception (4e)/Path2/Conv41</t>
  </si>
  <si>
    <t xml:space="preserve">Inception (4e)/Path2/Conv42</t>
  </si>
  <si>
    <t xml:space="preserve">Inception (4e)/Path3/Conv43</t>
  </si>
  <si>
    <t xml:space="preserve">Inception (4e)/Path3/Conv44</t>
  </si>
  <si>
    <t xml:space="preserve">Inception (4e)/Path4/Pool10</t>
  </si>
  <si>
    <t xml:space="preserve">Inception (4e)/Path4/Conv45</t>
  </si>
  <si>
    <t xml:space="preserve">Inception (4e)/DepthConcat</t>
  </si>
  <si>
    <t xml:space="preserve">Pool11</t>
  </si>
  <si>
    <t xml:space="preserve">Inception (5a)/Path1/Conv46</t>
  </si>
  <si>
    <t xml:space="preserve">Inception (5a)/Path2/Conv4147</t>
  </si>
  <si>
    <t xml:space="preserve">Inception (5a)/Path2/Conv48</t>
  </si>
  <si>
    <t xml:space="preserve">Inception (5a)/Path3/Conv49</t>
  </si>
  <si>
    <t xml:space="preserve">Inception (5a)/Path3/Conv50</t>
  </si>
  <si>
    <t xml:space="preserve">Inception (5a)/Path4/Pool11</t>
  </si>
  <si>
    <t xml:space="preserve">Inception (5a)/Path4/Conv51</t>
  </si>
  <si>
    <t xml:space="preserve">Inception (5a)/DepthConcat</t>
  </si>
  <si>
    <t xml:space="preserve">Inception (5b)/Path1/Conv52</t>
  </si>
  <si>
    <t xml:space="preserve">Inception (5b)/Path2/Conv53</t>
  </si>
  <si>
    <t xml:space="preserve">Inception (5b)/Path2/Conv54</t>
  </si>
  <si>
    <t xml:space="preserve">Inception (5b)/Path3/Conv55</t>
  </si>
  <si>
    <t xml:space="preserve">Inception (5b)/Path3/Conv56</t>
  </si>
  <si>
    <t xml:space="preserve">Inception (5b)/Path4/Pool12</t>
  </si>
  <si>
    <t xml:space="preserve">Inception (5b)/Path4/Conv57</t>
  </si>
  <si>
    <t xml:space="preserve">Inception (5b)/DepthConcat</t>
  </si>
  <si>
    <t xml:space="preserve">ave pool</t>
  </si>
  <si>
    <t xml:space="preserve">Dropout (40%)</t>
  </si>
  <si>
    <t xml:space="preserve">linear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</si>
</sst>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"/>
    <numFmt numFmtId="166" formatCode="0.00%"/>
    <numFmt numFmtId="167" formatCode="#,##0.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19" activeCellId="0" sqref="C19"/>
    </sheetView>
  </sheetViews>
  <sheetFormatPr defaultRowHeight="12.8"/>
  <cols>
    <col collapsed="false" hidden="false" max="1" min="1" style="1" width="10.1224489795918"/>
    <col collapsed="false" hidden="false" max="2" min="2" style="1" width="19.0357142857143"/>
    <col collapsed="false" hidden="false" max="3" min="3" style="1" width="15.3877551020408"/>
    <col collapsed="false" hidden="false" max="4" min="4" style="1" width="14.5816326530612"/>
    <col collapsed="false" hidden="false" max="5" min="5" style="1" width="11.6071428571429"/>
    <col collapsed="false" hidden="false" max="6" min="6" style="1" width="12.9591836734694"/>
    <col collapsed="false" hidden="false" max="7" min="7" style="1" width="10.1224489795918"/>
    <col collapsed="false" hidden="false" max="9" min="8" style="1" width="15.5255102040816"/>
    <col collapsed="false" hidden="false" max="10" min="10" style="1" width="16.469387755102"/>
    <col collapsed="false" hidden="false" max="12" min="11" style="1" width="11.6071428571429"/>
    <col collapsed="false" hidden="false" max="13" min="13" style="1" width="14.3112244897959"/>
    <col collapsed="false" hidden="false" max="14" min="14" style="1" width="14.5816326530612"/>
    <col collapsed="false" hidden="false" max="15" min="15" style="1" width="33.8826530612245"/>
    <col collapsed="false" hidden="false" max="1025" min="16" style="1" width="10.122448979591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customFormat="false" ht="12.8" hidden="false" customHeight="false" outlineLevel="0" collapsed="false">
      <c r="A2" s="1" t="n">
        <v>0</v>
      </c>
      <c r="B2" s="1" t="s">
        <v>15</v>
      </c>
      <c r="C2" s="0"/>
      <c r="D2" s="0"/>
      <c r="E2" s="0"/>
      <c r="F2" s="0"/>
      <c r="G2" s="0"/>
      <c r="H2" s="1" t="n">
        <v>224</v>
      </c>
      <c r="I2" s="1" t="n">
        <v>224</v>
      </c>
      <c r="J2" s="1" t="n">
        <v>3</v>
      </c>
      <c r="K2" s="3" t="n">
        <f aca="false">H2*I2*J2</f>
        <v>150528</v>
      </c>
      <c r="L2" s="3"/>
      <c r="M2" s="3"/>
      <c r="N2" s="4"/>
      <c r="O2" s="0"/>
    </row>
    <row r="3" customFormat="false" ht="12.8" hidden="false" customHeight="false" outlineLevel="0" collapsed="false">
      <c r="A3" s="1" t="n">
        <v>1</v>
      </c>
      <c r="B3" s="1" t="s">
        <v>16</v>
      </c>
      <c r="C3" s="1" t="n">
        <v>11</v>
      </c>
      <c r="D3" s="1" t="n">
        <v>11</v>
      </c>
      <c r="E3" s="1" t="n">
        <v>4</v>
      </c>
      <c r="F3" s="1" t="n">
        <v>4</v>
      </c>
      <c r="G3" s="1" t="s">
        <v>17</v>
      </c>
      <c r="H3" s="1" t="n">
        <v>55</v>
      </c>
      <c r="I3" s="1" t="n">
        <v>55</v>
      </c>
      <c r="J3" s="1" t="n">
        <v>96</v>
      </c>
      <c r="K3" s="3" t="n">
        <f aca="false">H3*I3*J3</f>
        <v>290400</v>
      </c>
      <c r="L3" s="3" t="n">
        <f aca="false">C3*D3*J2*J3</f>
        <v>34848</v>
      </c>
      <c r="M3" s="3" t="n">
        <f aca="false">L3*H3*I3</f>
        <v>105415200</v>
      </c>
      <c r="N3" s="4" t="n">
        <f aca="false">L3/L$16</f>
        <v>0.000571703661160847</v>
      </c>
      <c r="O3" s="1" t="s">
        <v>18</v>
      </c>
    </row>
    <row r="4" customFormat="false" ht="12.8" hidden="false" customHeight="false" outlineLevel="0" collapsed="false">
      <c r="A4" s="1" t="n">
        <v>2</v>
      </c>
      <c r="B4" s="1" t="s">
        <v>19</v>
      </c>
      <c r="C4" s="0"/>
      <c r="D4" s="0"/>
      <c r="E4" s="0"/>
      <c r="F4" s="0"/>
      <c r="G4" s="0"/>
      <c r="H4" s="0"/>
      <c r="I4" s="0"/>
      <c r="J4" s="0"/>
      <c r="K4" s="3"/>
      <c r="L4" s="3"/>
      <c r="M4" s="3"/>
      <c r="N4" s="4"/>
      <c r="O4" s="0"/>
    </row>
    <row r="5" customFormat="false" ht="12.8" hidden="false" customHeight="false" outlineLevel="0" collapsed="false">
      <c r="A5" s="1" t="n">
        <v>3</v>
      </c>
      <c r="B5" s="1" t="s">
        <v>20</v>
      </c>
      <c r="C5" s="1" t="n">
        <v>3</v>
      </c>
      <c r="D5" s="1" t="n">
        <v>3</v>
      </c>
      <c r="E5" s="1" t="n">
        <v>2</v>
      </c>
      <c r="F5" s="1" t="n">
        <v>2</v>
      </c>
      <c r="G5" s="1" t="s">
        <v>21</v>
      </c>
      <c r="H5" s="1" t="n">
        <f aca="false">ROUND((H3-C5+1)/E5,0)</f>
        <v>27</v>
      </c>
      <c r="I5" s="1" t="n">
        <f aca="false">ROUND((I3-D5+1)/F5,0)</f>
        <v>27</v>
      </c>
      <c r="J5" s="1" t="n">
        <f aca="false">J3</f>
        <v>96</v>
      </c>
      <c r="K5" s="3" t="n">
        <f aca="false">H5*I5*J5</f>
        <v>69984</v>
      </c>
      <c r="L5" s="3"/>
      <c r="M5" s="3"/>
      <c r="N5" s="4"/>
      <c r="O5" s="0"/>
    </row>
    <row r="6" customFormat="false" ht="12.8" hidden="false" customHeight="false" outlineLevel="0" collapsed="false">
      <c r="A6" s="1" t="n">
        <v>4</v>
      </c>
      <c r="B6" s="1" t="s">
        <v>22</v>
      </c>
      <c r="C6" s="1" t="n">
        <v>5</v>
      </c>
      <c r="D6" s="1" t="n">
        <v>5</v>
      </c>
      <c r="E6" s="1" t="n">
        <v>1</v>
      </c>
      <c r="F6" s="1" t="n">
        <v>1</v>
      </c>
      <c r="G6" s="1" t="s">
        <v>23</v>
      </c>
      <c r="H6" s="1" t="n">
        <f aca="false">H5</f>
        <v>27</v>
      </c>
      <c r="I6" s="1" t="n">
        <f aca="false">I5</f>
        <v>27</v>
      </c>
      <c r="J6" s="1" t="n">
        <v>256</v>
      </c>
      <c r="K6" s="3" t="n">
        <f aca="false">H6*I6*J6</f>
        <v>186624</v>
      </c>
      <c r="L6" s="3" t="n">
        <f aca="false">C6*D6*J6*J5/2</f>
        <v>307200</v>
      </c>
      <c r="M6" s="3" t="n">
        <f aca="false">L6*H6*I6</f>
        <v>223948800</v>
      </c>
      <c r="N6" s="4" t="n">
        <f aca="false">L6/L$16</f>
        <v>0.00503981188902124</v>
      </c>
      <c r="O6" s="1" t="s">
        <v>18</v>
      </c>
    </row>
    <row r="7" customFormat="false" ht="12.8" hidden="false" customHeight="false" outlineLevel="0" collapsed="false">
      <c r="A7" s="1" t="n">
        <v>5</v>
      </c>
      <c r="B7" s="1" t="s">
        <v>19</v>
      </c>
      <c r="C7" s="0"/>
      <c r="D7" s="0"/>
      <c r="E7" s="0"/>
      <c r="F7" s="0"/>
      <c r="G7" s="0"/>
      <c r="H7" s="0"/>
      <c r="I7" s="0"/>
      <c r="J7" s="0"/>
      <c r="K7" s="3"/>
      <c r="L7" s="3"/>
      <c r="M7" s="3"/>
      <c r="N7" s="4"/>
      <c r="O7" s="0"/>
    </row>
    <row r="8" customFormat="false" ht="12.8" hidden="false" customHeight="false" outlineLevel="0" collapsed="false">
      <c r="A8" s="1" t="n">
        <v>6</v>
      </c>
      <c r="B8" s="1" t="s">
        <v>24</v>
      </c>
      <c r="C8" s="1" t="n">
        <v>3</v>
      </c>
      <c r="D8" s="1" t="n">
        <v>3</v>
      </c>
      <c r="E8" s="1" t="n">
        <v>2</v>
      </c>
      <c r="F8" s="1" t="n">
        <v>2</v>
      </c>
      <c r="G8" s="1" t="s">
        <v>21</v>
      </c>
      <c r="H8" s="1" t="n">
        <f aca="false">ROUND((H5-C8+1)/E8,0)</f>
        <v>13</v>
      </c>
      <c r="I8" s="1" t="n">
        <f aca="false">ROUND((I5-D8+1)/F8,0)</f>
        <v>13</v>
      </c>
      <c r="J8" s="1" t="n">
        <f aca="false">J6</f>
        <v>256</v>
      </c>
      <c r="K8" s="3" t="n">
        <f aca="false">H8*I8*J8</f>
        <v>43264</v>
      </c>
      <c r="L8" s="3"/>
      <c r="M8" s="3"/>
      <c r="N8" s="4"/>
      <c r="O8" s="1" t="s">
        <v>25</v>
      </c>
    </row>
    <row r="9" customFormat="false" ht="12.8" hidden="false" customHeight="false" outlineLevel="0" collapsed="false">
      <c r="A9" s="1" t="n">
        <v>7</v>
      </c>
      <c r="B9" s="1" t="s">
        <v>26</v>
      </c>
      <c r="C9" s="1" t="n">
        <v>3</v>
      </c>
      <c r="D9" s="1" t="n">
        <v>3</v>
      </c>
      <c r="E9" s="1" t="n">
        <v>1</v>
      </c>
      <c r="F9" s="1" t="n">
        <v>1</v>
      </c>
      <c r="G9" s="1" t="s">
        <v>23</v>
      </c>
      <c r="H9" s="1" t="n">
        <v>13</v>
      </c>
      <c r="I9" s="1" t="n">
        <v>13</v>
      </c>
      <c r="J9" s="1" t="n">
        <v>384</v>
      </c>
      <c r="K9" s="3" t="n">
        <f aca="false">H9*I9*J9</f>
        <v>64896</v>
      </c>
      <c r="L9" s="3" t="n">
        <f aca="false">C9*D9*J8*J9</f>
        <v>884736</v>
      </c>
      <c r="M9" s="3" t="n">
        <f aca="false">L9*H9*I9</f>
        <v>149520384</v>
      </c>
      <c r="N9" s="4" t="n">
        <f aca="false">L9/L$16</f>
        <v>0.0145146582403812</v>
      </c>
      <c r="O9" s="0"/>
    </row>
    <row r="10" customFormat="false" ht="12.8" hidden="false" customHeight="false" outlineLevel="0" collapsed="false">
      <c r="A10" s="1" t="n">
        <v>8</v>
      </c>
      <c r="B10" s="1" t="s">
        <v>27</v>
      </c>
      <c r="C10" s="1" t="n">
        <v>3</v>
      </c>
      <c r="D10" s="1" t="n">
        <v>3</v>
      </c>
      <c r="E10" s="1" t="n">
        <v>1</v>
      </c>
      <c r="F10" s="1" t="n">
        <v>1</v>
      </c>
      <c r="G10" s="1" t="s">
        <v>23</v>
      </c>
      <c r="H10" s="1" t="n">
        <v>13</v>
      </c>
      <c r="I10" s="1" t="n">
        <v>13</v>
      </c>
      <c r="J10" s="1" t="n">
        <v>384</v>
      </c>
      <c r="K10" s="3" t="n">
        <f aca="false">H10*I10*J10</f>
        <v>64896</v>
      </c>
      <c r="L10" s="3" t="n">
        <f aca="false">C10*D10*J9*J10/2</f>
        <v>663552</v>
      </c>
      <c r="M10" s="3" t="n">
        <f aca="false">L10*H10*I10</f>
        <v>112140288</v>
      </c>
      <c r="N10" s="4" t="n">
        <f aca="false">L10/L$16</f>
        <v>0.0108859936802859</v>
      </c>
      <c r="O10" s="1" t="s">
        <v>28</v>
      </c>
    </row>
    <row r="11" customFormat="false" ht="12.8" hidden="false" customHeight="false" outlineLevel="0" collapsed="false">
      <c r="A11" s="1" t="n">
        <v>9</v>
      </c>
      <c r="B11" s="1" t="s">
        <v>29</v>
      </c>
      <c r="C11" s="1" t="n">
        <v>3</v>
      </c>
      <c r="D11" s="1" t="n">
        <v>3</v>
      </c>
      <c r="E11" s="1" t="n">
        <v>1</v>
      </c>
      <c r="F11" s="1" t="n">
        <v>1</v>
      </c>
      <c r="G11" s="1" t="s">
        <v>23</v>
      </c>
      <c r="H11" s="1" t="n">
        <v>13</v>
      </c>
      <c r="I11" s="1" t="n">
        <v>13</v>
      </c>
      <c r="J11" s="1" t="n">
        <v>256</v>
      </c>
      <c r="K11" s="3" t="n">
        <f aca="false">H11*I11*J11</f>
        <v>43264</v>
      </c>
      <c r="L11" s="3" t="n">
        <f aca="false">C11*D11*J10*J11/2</f>
        <v>442368</v>
      </c>
      <c r="M11" s="3" t="n">
        <f aca="false">L11*H11*I11</f>
        <v>74760192</v>
      </c>
      <c r="N11" s="4" t="n">
        <f aca="false">L11/L$16</f>
        <v>0.00725732912019059</v>
      </c>
    </row>
    <row r="12" customFormat="false" ht="12.8" hidden="false" customHeight="false" outlineLevel="0" collapsed="false">
      <c r="A12" s="1" t="n">
        <v>10</v>
      </c>
      <c r="B12" s="1" t="s">
        <v>30</v>
      </c>
      <c r="C12" s="1" t="n">
        <v>3</v>
      </c>
      <c r="D12" s="1" t="n">
        <v>3</v>
      </c>
      <c r="E12" s="1" t="n">
        <v>2</v>
      </c>
      <c r="F12" s="1" t="n">
        <v>2</v>
      </c>
      <c r="G12" s="1" t="s">
        <v>21</v>
      </c>
      <c r="H12" s="1" t="n">
        <f aca="false">ROUND((H11-C12+1)/E12,0)</f>
        <v>6</v>
      </c>
      <c r="I12" s="1" t="n">
        <f aca="false">ROUND((I11-D12+1)/F12,0)</f>
        <v>6</v>
      </c>
      <c r="J12" s="1" t="n">
        <f aca="false">J11</f>
        <v>256</v>
      </c>
      <c r="K12" s="3" t="n">
        <f aca="false">H12*I12*J12</f>
        <v>9216</v>
      </c>
      <c r="L12" s="3"/>
      <c r="M12" s="3"/>
      <c r="N12" s="4"/>
    </row>
    <row r="13" customFormat="false" ht="12.8" hidden="false" customHeight="false" outlineLevel="0" collapsed="false">
      <c r="A13" s="1" t="n">
        <v>11</v>
      </c>
      <c r="B13" s="1" t="s">
        <v>31</v>
      </c>
      <c r="C13" s="0"/>
      <c r="D13" s="0"/>
      <c r="E13" s="0"/>
      <c r="F13" s="0"/>
      <c r="G13" s="0"/>
      <c r="H13" s="1" t="n">
        <v>1</v>
      </c>
      <c r="I13" s="1" t="n">
        <v>1</v>
      </c>
      <c r="J13" s="1" t="n">
        <v>4096</v>
      </c>
      <c r="K13" s="3" t="n">
        <f aca="false">H13*I13*J13</f>
        <v>4096</v>
      </c>
      <c r="L13" s="3" t="n">
        <f aca="false">H12*I12*J12*J13</f>
        <v>37748736</v>
      </c>
      <c r="M13" s="3" t="n">
        <f aca="false">H12*I12*J12*J13</f>
        <v>37748736</v>
      </c>
      <c r="N13" s="4" t="n">
        <f aca="false">L13/L$16</f>
        <v>0.61929208492293</v>
      </c>
    </row>
    <row r="14" customFormat="false" ht="12.8" hidden="false" customHeight="false" outlineLevel="0" collapsed="false">
      <c r="A14" s="1" t="n">
        <v>12</v>
      </c>
      <c r="B14" s="1" t="s">
        <v>32</v>
      </c>
      <c r="C14" s="0"/>
      <c r="D14" s="0"/>
      <c r="E14" s="0"/>
      <c r="F14" s="0"/>
      <c r="G14" s="0"/>
      <c r="H14" s="1" t="n">
        <v>1</v>
      </c>
      <c r="I14" s="1" t="n">
        <v>1</v>
      </c>
      <c r="J14" s="1" t="n">
        <v>4096</v>
      </c>
      <c r="K14" s="3" t="n">
        <f aca="false">H14*I14*J14</f>
        <v>4096</v>
      </c>
      <c r="L14" s="3" t="n">
        <f aca="false">J13*J14</f>
        <v>16777216</v>
      </c>
      <c r="M14" s="3" t="n">
        <f aca="false">J13*J14</f>
        <v>16777216</v>
      </c>
      <c r="N14" s="4" t="n">
        <f aca="false">L14/L$16</f>
        <v>0.275240926632413</v>
      </c>
    </row>
    <row r="15" customFormat="false" ht="12.8" hidden="false" customHeight="false" outlineLevel="0" collapsed="false">
      <c r="A15" s="1" t="n">
        <v>13</v>
      </c>
      <c r="B15" s="1" t="s">
        <v>33</v>
      </c>
      <c r="C15" s="0"/>
      <c r="D15" s="0"/>
      <c r="E15" s="0"/>
      <c r="F15" s="0"/>
      <c r="G15" s="0"/>
      <c r="H15" s="1" t="n">
        <v>1</v>
      </c>
      <c r="I15" s="1" t="n">
        <v>1</v>
      </c>
      <c r="J15" s="1" t="n">
        <v>1000</v>
      </c>
      <c r="K15" s="3" t="n">
        <f aca="false">H15*I15*J15</f>
        <v>1000</v>
      </c>
      <c r="L15" s="3" t="n">
        <f aca="false">J14*J15</f>
        <v>4096000</v>
      </c>
      <c r="M15" s="3" t="n">
        <f aca="false">J14*J15</f>
        <v>4096000</v>
      </c>
      <c r="N15" s="4" t="n">
        <f aca="false">L15/L$16</f>
        <v>0.0671974918536166</v>
      </c>
    </row>
    <row r="16" customFormat="false" ht="12.8" hidden="false" customHeight="false" outlineLevel="0" collapsed="false">
      <c r="A16" s="5" t="s">
        <v>34</v>
      </c>
      <c r="B16" s="5"/>
      <c r="C16" s="5"/>
      <c r="D16" s="5"/>
      <c r="E16" s="5"/>
      <c r="F16" s="5"/>
      <c r="G16" s="5"/>
      <c r="H16" s="5"/>
      <c r="I16" s="5"/>
      <c r="J16" s="5"/>
      <c r="K16" s="3" t="n">
        <f aca="false">SUM(K2:K15)</f>
        <v>932264</v>
      </c>
      <c r="L16" s="3" t="n">
        <f aca="false">SUM(L2:L15)</f>
        <v>60954656</v>
      </c>
      <c r="M16" s="3" t="n">
        <f aca="false">SUM(M2:M15)</f>
        <v>724406816</v>
      </c>
      <c r="N16" s="3"/>
    </row>
  </sheetData>
  <mergeCells count="1">
    <mergeCell ref="A16:J1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H34" activeCellId="0" sqref="H34"/>
    </sheetView>
  </sheetViews>
  <sheetFormatPr defaultRowHeight="12.8"/>
  <cols>
    <col collapsed="false" hidden="false" max="1" min="1" style="1" width="10.1224489795918"/>
    <col collapsed="false" hidden="false" max="2" min="2" style="1" width="8.50510204081633"/>
    <col collapsed="false" hidden="false" max="3" min="3" style="1" width="15.3877551020408"/>
    <col collapsed="false" hidden="false" max="4" min="4" style="1" width="14.5816326530612"/>
    <col collapsed="false" hidden="false" max="5" min="5" style="1" width="11.6071428571429"/>
    <col collapsed="false" hidden="false" max="6" min="6" style="1" width="11.3418367346939"/>
    <col collapsed="false" hidden="false" max="7" min="7" style="1" width="10.1224489795918"/>
    <col collapsed="false" hidden="false" max="8" min="8" style="1" width="16.1989795918367"/>
    <col collapsed="false" hidden="false" max="9" min="9" style="1" width="16.469387755102"/>
    <col collapsed="false" hidden="false" max="10" min="10" style="1" width="17.5510204081633"/>
    <col collapsed="false" hidden="false" max="11" min="11" style="1" width="10.6632653061225"/>
    <col collapsed="false" hidden="false" max="12" min="12" style="1" width="13.1938775510204"/>
    <col collapsed="false" hidden="false" max="13" min="13" style="1" width="14.5816326530612"/>
    <col collapsed="false" hidden="false" max="1025" min="14" style="1" width="10.122448979591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0"/>
    </row>
    <row r="2" customFormat="false" ht="12.8" hidden="false" customHeight="false" outlineLevel="0" collapsed="false">
      <c r="A2" s="1" t="n">
        <v>0</v>
      </c>
      <c r="B2" s="1" t="s">
        <v>15</v>
      </c>
      <c r="C2" s="0"/>
      <c r="D2" s="0"/>
      <c r="E2" s="0"/>
      <c r="F2" s="0"/>
      <c r="G2" s="0"/>
      <c r="H2" s="1" t="n">
        <v>224</v>
      </c>
      <c r="I2" s="1" t="n">
        <v>224</v>
      </c>
      <c r="J2" s="1" t="n">
        <v>3</v>
      </c>
      <c r="K2" s="3" t="n">
        <f aca="false">H2*I2*J2</f>
        <v>150528</v>
      </c>
      <c r="L2" s="3"/>
      <c r="M2" s="3"/>
      <c r="N2" s="4"/>
      <c r="O2" s="0"/>
    </row>
    <row r="3" customFormat="false" ht="12.8" hidden="false" customHeight="false" outlineLevel="0" collapsed="false">
      <c r="A3" s="1" t="n">
        <v>1</v>
      </c>
      <c r="B3" s="1" t="s">
        <v>16</v>
      </c>
      <c r="C3" s="1" t="n">
        <v>3</v>
      </c>
      <c r="D3" s="1" t="n">
        <v>3</v>
      </c>
      <c r="E3" s="1" t="n">
        <v>1</v>
      </c>
      <c r="F3" s="1" t="n">
        <v>1</v>
      </c>
      <c r="G3" s="1" t="s">
        <v>23</v>
      </c>
      <c r="H3" s="1" t="n">
        <f aca="false">H2/E3</f>
        <v>224</v>
      </c>
      <c r="I3" s="1" t="n">
        <f aca="false">I2/F3</f>
        <v>224</v>
      </c>
      <c r="J3" s="1" t="n">
        <v>64</v>
      </c>
      <c r="K3" s="3" t="n">
        <f aca="false">H3*I3*J3</f>
        <v>3211264</v>
      </c>
      <c r="L3" s="3" t="n">
        <f aca="false">C3*D3*J2*J3</f>
        <v>1728</v>
      </c>
      <c r="M3" s="3" t="n">
        <f aca="false">L3*H3*I3</f>
        <v>86704128</v>
      </c>
      <c r="N3" s="4" t="n">
        <f aca="false">L3/L$25</f>
        <v>1.24905915775478E-005</v>
      </c>
      <c r="O3" s="0"/>
    </row>
    <row r="4" customFormat="false" ht="12.8" hidden="false" customHeight="false" outlineLevel="0" collapsed="false">
      <c r="A4" s="1" t="n">
        <v>2</v>
      </c>
      <c r="B4" s="1" t="s">
        <v>35</v>
      </c>
      <c r="C4" s="1" t="n">
        <v>3</v>
      </c>
      <c r="D4" s="1" t="n">
        <v>3</v>
      </c>
      <c r="E4" s="1" t="n">
        <v>1</v>
      </c>
      <c r="F4" s="1" t="n">
        <v>1</v>
      </c>
      <c r="G4" s="1" t="s">
        <v>23</v>
      </c>
      <c r="H4" s="1" t="n">
        <f aca="false">H3/E4</f>
        <v>224</v>
      </c>
      <c r="I4" s="1" t="n">
        <f aca="false">I3/F4</f>
        <v>224</v>
      </c>
      <c r="J4" s="1" t="n">
        <v>64</v>
      </c>
      <c r="K4" s="3" t="n">
        <f aca="false">H4*I4*J4</f>
        <v>3211264</v>
      </c>
      <c r="L4" s="3" t="n">
        <f aca="false">C4*D4*J3*J4</f>
        <v>36864</v>
      </c>
      <c r="M4" s="3" t="n">
        <f aca="false">L4*H4*I4</f>
        <v>1849688064</v>
      </c>
      <c r="N4" s="4" t="n">
        <f aca="false">L4/L$25</f>
        <v>0.000266465953654354</v>
      </c>
      <c r="O4" s="0"/>
    </row>
    <row r="5" customFormat="false" ht="12.8" hidden="false" customHeight="false" outlineLevel="0" collapsed="false">
      <c r="A5" s="1" t="n">
        <v>3</v>
      </c>
      <c r="B5" s="1" t="s">
        <v>20</v>
      </c>
      <c r="C5" s="1" t="n">
        <v>2</v>
      </c>
      <c r="D5" s="1" t="n">
        <v>2</v>
      </c>
      <c r="E5" s="1" t="n">
        <v>2</v>
      </c>
      <c r="F5" s="1" t="n">
        <v>2</v>
      </c>
      <c r="G5" s="0"/>
      <c r="H5" s="1" t="n">
        <f aca="false">H4/E5</f>
        <v>112</v>
      </c>
      <c r="I5" s="1" t="n">
        <f aca="false">I4/F5</f>
        <v>112</v>
      </c>
      <c r="J5" s="1" t="n">
        <f aca="false">J4</f>
        <v>64</v>
      </c>
      <c r="K5" s="3" t="n">
        <f aca="false">H5*I5*J5</f>
        <v>802816</v>
      </c>
      <c r="L5" s="3"/>
      <c r="M5" s="3"/>
      <c r="N5" s="4"/>
      <c r="O5" s="0"/>
    </row>
    <row r="6" customFormat="false" ht="12.8" hidden="false" customHeight="false" outlineLevel="0" collapsed="false">
      <c r="A6" s="1" t="n">
        <v>4</v>
      </c>
      <c r="B6" s="1" t="s">
        <v>22</v>
      </c>
      <c r="C6" s="1" t="n">
        <v>3</v>
      </c>
      <c r="D6" s="1" t="n">
        <v>3</v>
      </c>
      <c r="E6" s="1" t="n">
        <v>1</v>
      </c>
      <c r="F6" s="1" t="n">
        <v>1</v>
      </c>
      <c r="G6" s="1" t="s">
        <v>23</v>
      </c>
      <c r="H6" s="1" t="n">
        <f aca="false">H5/E6</f>
        <v>112</v>
      </c>
      <c r="I6" s="1" t="n">
        <f aca="false">I5/F6</f>
        <v>112</v>
      </c>
      <c r="J6" s="1" t="n">
        <v>128</v>
      </c>
      <c r="K6" s="3" t="n">
        <f aca="false">H6*I6*J6</f>
        <v>1605632</v>
      </c>
      <c r="L6" s="3" t="n">
        <f aca="false">C6*D6*J5*J6</f>
        <v>73728</v>
      </c>
      <c r="M6" s="3" t="n">
        <f aca="false">L6*H6*I6</f>
        <v>924844032</v>
      </c>
      <c r="N6" s="4" t="n">
        <f aca="false">L6/L$25</f>
        <v>0.000532931907308708</v>
      </c>
      <c r="O6" s="0"/>
    </row>
    <row r="7" customFormat="false" ht="12.8" hidden="false" customHeight="false" outlineLevel="0" collapsed="false">
      <c r="A7" s="1" t="n">
        <v>5</v>
      </c>
      <c r="B7" s="1" t="s">
        <v>36</v>
      </c>
      <c r="C7" s="1" t="n">
        <v>3</v>
      </c>
      <c r="D7" s="1" t="n">
        <v>3</v>
      </c>
      <c r="E7" s="1" t="n">
        <v>1</v>
      </c>
      <c r="F7" s="1" t="n">
        <v>1</v>
      </c>
      <c r="G7" s="1" t="s">
        <v>23</v>
      </c>
      <c r="H7" s="1" t="n">
        <f aca="false">H6/E7</f>
        <v>112</v>
      </c>
      <c r="I7" s="1" t="n">
        <f aca="false">I6/F7</f>
        <v>112</v>
      </c>
      <c r="J7" s="1" t="n">
        <v>128</v>
      </c>
      <c r="K7" s="3" t="n">
        <f aca="false">H7*I7*J7</f>
        <v>1605632</v>
      </c>
      <c r="L7" s="3" t="n">
        <f aca="false">C7*D7*J6*J7</f>
        <v>147456</v>
      </c>
      <c r="M7" s="3" t="n">
        <f aca="false">L7*H7*I7</f>
        <v>1849688064</v>
      </c>
      <c r="N7" s="4" t="n">
        <f aca="false">L7/L$25</f>
        <v>0.00106586381461742</v>
      </c>
      <c r="O7" s="0"/>
    </row>
    <row r="8" customFormat="false" ht="12.8" hidden="false" customHeight="false" outlineLevel="0" collapsed="false">
      <c r="A8" s="1" t="n">
        <v>6</v>
      </c>
      <c r="B8" s="1" t="s">
        <v>24</v>
      </c>
      <c r="C8" s="1" t="n">
        <v>2</v>
      </c>
      <c r="D8" s="1" t="n">
        <v>2</v>
      </c>
      <c r="E8" s="1" t="n">
        <v>2</v>
      </c>
      <c r="F8" s="1" t="n">
        <v>2</v>
      </c>
      <c r="G8" s="0"/>
      <c r="H8" s="1" t="n">
        <f aca="false">H7/E8</f>
        <v>56</v>
      </c>
      <c r="I8" s="1" t="n">
        <f aca="false">I7/F8</f>
        <v>56</v>
      </c>
      <c r="J8" s="1" t="n">
        <f aca="false">J7</f>
        <v>128</v>
      </c>
      <c r="K8" s="3" t="n">
        <f aca="false">H8*I8*J8</f>
        <v>401408</v>
      </c>
      <c r="L8" s="3"/>
      <c r="M8" s="3"/>
      <c r="N8" s="4"/>
      <c r="O8" s="0"/>
    </row>
    <row r="9" customFormat="false" ht="12.8" hidden="false" customHeight="false" outlineLevel="0" collapsed="false">
      <c r="A9" s="1" t="n">
        <v>7</v>
      </c>
      <c r="B9" s="1" t="s">
        <v>26</v>
      </c>
      <c r="C9" s="1" t="n">
        <v>3</v>
      </c>
      <c r="D9" s="1" t="n">
        <v>3</v>
      </c>
      <c r="E9" s="1" t="n">
        <v>1</v>
      </c>
      <c r="F9" s="1" t="n">
        <v>1</v>
      </c>
      <c r="G9" s="1" t="s">
        <v>23</v>
      </c>
      <c r="H9" s="1" t="n">
        <f aca="false">H8/E9</f>
        <v>56</v>
      </c>
      <c r="I9" s="1" t="n">
        <f aca="false">I8/F9</f>
        <v>56</v>
      </c>
      <c r="J9" s="1" t="n">
        <v>256</v>
      </c>
      <c r="K9" s="3" t="n">
        <f aca="false">H9*I9*J9</f>
        <v>802816</v>
      </c>
      <c r="L9" s="3" t="n">
        <f aca="false">C9*D9*J8*J9</f>
        <v>294912</v>
      </c>
      <c r="M9" s="3" t="n">
        <f aca="false">L9*H9*I9</f>
        <v>924844032</v>
      </c>
      <c r="N9" s="4" t="n">
        <f aca="false">L9/L$25</f>
        <v>0.00213172762923483</v>
      </c>
      <c r="O9" s="0"/>
    </row>
    <row r="10" customFormat="false" ht="12.8" hidden="false" customHeight="false" outlineLevel="0" collapsed="false">
      <c r="A10" s="1" t="n">
        <v>8</v>
      </c>
      <c r="B10" s="1" t="s">
        <v>27</v>
      </c>
      <c r="C10" s="1" t="n">
        <v>3</v>
      </c>
      <c r="D10" s="1" t="n">
        <v>3</v>
      </c>
      <c r="E10" s="1" t="n">
        <v>1</v>
      </c>
      <c r="F10" s="1" t="n">
        <v>1</v>
      </c>
      <c r="G10" s="1" t="s">
        <v>23</v>
      </c>
      <c r="H10" s="1" t="n">
        <f aca="false">H9/E10</f>
        <v>56</v>
      </c>
      <c r="I10" s="1" t="n">
        <f aca="false">I9/F10</f>
        <v>56</v>
      </c>
      <c r="J10" s="1" t="n">
        <v>256</v>
      </c>
      <c r="K10" s="3" t="n">
        <f aca="false">H10*I10*J10</f>
        <v>802816</v>
      </c>
      <c r="L10" s="3" t="n">
        <f aca="false">C10*D10*J9*J10</f>
        <v>589824</v>
      </c>
      <c r="M10" s="3" t="n">
        <f aca="false">L10*H10*I10</f>
        <v>1849688064</v>
      </c>
      <c r="N10" s="4" t="n">
        <f aca="false">L10/L$25</f>
        <v>0.00426345525846966</v>
      </c>
      <c r="O10" s="0"/>
    </row>
    <row r="11" customFormat="false" ht="12.8" hidden="false" customHeight="false" outlineLevel="0" collapsed="false">
      <c r="A11" s="1" t="n">
        <v>10</v>
      </c>
      <c r="B11" s="1" t="s">
        <v>29</v>
      </c>
      <c r="C11" s="1" t="n">
        <v>3</v>
      </c>
      <c r="D11" s="1" t="n">
        <v>3</v>
      </c>
      <c r="E11" s="1" t="n">
        <v>1</v>
      </c>
      <c r="F11" s="1" t="n">
        <v>1</v>
      </c>
      <c r="G11" s="1" t="s">
        <v>23</v>
      </c>
      <c r="H11" s="1" t="n">
        <f aca="false">H10/E11</f>
        <v>56</v>
      </c>
      <c r="I11" s="1" t="n">
        <f aca="false">I10/F11</f>
        <v>56</v>
      </c>
      <c r="J11" s="1" t="n">
        <v>256</v>
      </c>
      <c r="K11" s="3" t="n">
        <f aca="false">H11*I11*J11</f>
        <v>802816</v>
      </c>
      <c r="L11" s="3" t="n">
        <f aca="false">C11*D11*J10*J11</f>
        <v>589824</v>
      </c>
      <c r="M11" s="3" t="n">
        <f aca="false">L11*H11*I11</f>
        <v>1849688064</v>
      </c>
      <c r="N11" s="4" t="n">
        <f aca="false">L11/L$25</f>
        <v>0.00426345525846966</v>
      </c>
      <c r="O11" s="0"/>
    </row>
    <row r="12" customFormat="false" ht="12.8" hidden="false" customHeight="false" outlineLevel="0" collapsed="false">
      <c r="A12" s="1" t="n">
        <v>11</v>
      </c>
      <c r="B12" s="1" t="s">
        <v>30</v>
      </c>
      <c r="C12" s="1" t="n">
        <v>2</v>
      </c>
      <c r="D12" s="1" t="n">
        <v>2</v>
      </c>
      <c r="E12" s="1" t="n">
        <v>2</v>
      </c>
      <c r="F12" s="1" t="n">
        <v>2</v>
      </c>
      <c r="G12" s="0"/>
      <c r="H12" s="1" t="n">
        <f aca="false">H11/E12</f>
        <v>28</v>
      </c>
      <c r="I12" s="1" t="n">
        <f aca="false">I11/F12</f>
        <v>28</v>
      </c>
      <c r="J12" s="1" t="n">
        <f aca="false">J11</f>
        <v>256</v>
      </c>
      <c r="K12" s="3" t="n">
        <f aca="false">H12*I12*J12</f>
        <v>200704</v>
      </c>
      <c r="L12" s="3"/>
      <c r="M12" s="3"/>
      <c r="N12" s="4"/>
      <c r="O12" s="0"/>
    </row>
    <row r="13" customFormat="false" ht="12.8" hidden="false" customHeight="false" outlineLevel="0" collapsed="false">
      <c r="A13" s="1" t="n">
        <v>12</v>
      </c>
      <c r="B13" s="1" t="s">
        <v>37</v>
      </c>
      <c r="C13" s="1" t="n">
        <v>3</v>
      </c>
      <c r="D13" s="1" t="n">
        <v>3</v>
      </c>
      <c r="E13" s="1" t="n">
        <v>1</v>
      </c>
      <c r="F13" s="1" t="n">
        <v>1</v>
      </c>
      <c r="G13" s="1" t="s">
        <v>23</v>
      </c>
      <c r="H13" s="1" t="n">
        <f aca="false">H12/E13</f>
        <v>28</v>
      </c>
      <c r="I13" s="1" t="n">
        <f aca="false">I12/F13</f>
        <v>28</v>
      </c>
      <c r="J13" s="1" t="n">
        <v>512</v>
      </c>
      <c r="K13" s="3" t="n">
        <f aca="false">H13*I13*J13</f>
        <v>401408</v>
      </c>
      <c r="L13" s="3" t="n">
        <f aca="false">C13*D13*J12*J13</f>
        <v>1179648</v>
      </c>
      <c r="M13" s="3" t="n">
        <f aca="false">L13*H13*I13</f>
        <v>924844032</v>
      </c>
      <c r="N13" s="4" t="n">
        <f aca="false">L13/L$25</f>
        <v>0.00852691051693932</v>
      </c>
      <c r="O13" s="0"/>
    </row>
    <row r="14" customFormat="false" ht="12.8" hidden="false" customHeight="false" outlineLevel="0" collapsed="false">
      <c r="A14" s="1" t="n">
        <v>13</v>
      </c>
      <c r="B14" s="1" t="s">
        <v>38</v>
      </c>
      <c r="C14" s="1" t="n">
        <v>3</v>
      </c>
      <c r="D14" s="1" t="n">
        <v>3</v>
      </c>
      <c r="E14" s="1" t="n">
        <v>1</v>
      </c>
      <c r="F14" s="1" t="n">
        <v>1</v>
      </c>
      <c r="G14" s="1" t="s">
        <v>23</v>
      </c>
      <c r="H14" s="1" t="n">
        <f aca="false">H13/E14</f>
        <v>28</v>
      </c>
      <c r="I14" s="1" t="n">
        <f aca="false">I13/F14</f>
        <v>28</v>
      </c>
      <c r="J14" s="1" t="n">
        <f aca="false">J13</f>
        <v>512</v>
      </c>
      <c r="K14" s="3" t="n">
        <f aca="false">H14*I14*J14</f>
        <v>401408</v>
      </c>
      <c r="L14" s="3" t="n">
        <f aca="false">C14*D14*J13*J14</f>
        <v>2359296</v>
      </c>
      <c r="M14" s="3" t="n">
        <f aca="false">L14*H14*I14</f>
        <v>1849688064</v>
      </c>
      <c r="N14" s="4" t="n">
        <f aca="false">L14/L$25</f>
        <v>0.0170538210338786</v>
      </c>
      <c r="O14" s="0"/>
    </row>
    <row r="15" customFormat="false" ht="12.8" hidden="false" customHeight="false" outlineLevel="0" collapsed="false">
      <c r="A15" s="1" t="n">
        <v>15</v>
      </c>
      <c r="B15" s="1" t="s">
        <v>39</v>
      </c>
      <c r="C15" s="1" t="n">
        <v>3</v>
      </c>
      <c r="D15" s="1" t="n">
        <v>3</v>
      </c>
      <c r="E15" s="1" t="n">
        <v>1</v>
      </c>
      <c r="F15" s="1" t="n">
        <v>1</v>
      </c>
      <c r="G15" s="1" t="s">
        <v>23</v>
      </c>
      <c r="H15" s="1" t="n">
        <f aca="false">H14/E15</f>
        <v>28</v>
      </c>
      <c r="I15" s="1" t="n">
        <f aca="false">I14/F15</f>
        <v>28</v>
      </c>
      <c r="J15" s="1" t="n">
        <f aca="false">J14</f>
        <v>512</v>
      </c>
      <c r="K15" s="3" t="n">
        <f aca="false">H15*I15*J15</f>
        <v>401408</v>
      </c>
      <c r="L15" s="3" t="n">
        <f aca="false">C15*D15*J14*J15</f>
        <v>2359296</v>
      </c>
      <c r="M15" s="3" t="n">
        <f aca="false">L15*H15*I15</f>
        <v>1849688064</v>
      </c>
      <c r="N15" s="4" t="n">
        <f aca="false">L15/L$25</f>
        <v>0.0170538210338786</v>
      </c>
      <c r="O15" s="0"/>
    </row>
    <row r="16" customFormat="false" ht="12.8" hidden="false" customHeight="false" outlineLevel="0" collapsed="false">
      <c r="A16" s="1" t="n">
        <v>16</v>
      </c>
      <c r="B16" s="1" t="s">
        <v>40</v>
      </c>
      <c r="C16" s="1" t="n">
        <v>2</v>
      </c>
      <c r="D16" s="1" t="n">
        <v>2</v>
      </c>
      <c r="E16" s="1" t="n">
        <v>2</v>
      </c>
      <c r="F16" s="1" t="n">
        <v>2</v>
      </c>
      <c r="G16" s="0"/>
      <c r="H16" s="1" t="n">
        <f aca="false">H15/E16</f>
        <v>14</v>
      </c>
      <c r="I16" s="1" t="n">
        <f aca="false">I15/F16</f>
        <v>14</v>
      </c>
      <c r="J16" s="1" t="n">
        <f aca="false">J15</f>
        <v>512</v>
      </c>
      <c r="K16" s="3" t="n">
        <f aca="false">H16*I16*J16</f>
        <v>100352</v>
      </c>
      <c r="L16" s="3"/>
      <c r="M16" s="3"/>
      <c r="N16" s="4"/>
      <c r="O16" s="0"/>
    </row>
    <row r="17" customFormat="false" ht="12.8" hidden="false" customHeight="false" outlineLevel="0" collapsed="false">
      <c r="A17" s="1" t="n">
        <v>17</v>
      </c>
      <c r="B17" s="1" t="s">
        <v>41</v>
      </c>
      <c r="C17" s="1" t="n">
        <v>3</v>
      </c>
      <c r="D17" s="1" t="n">
        <v>3</v>
      </c>
      <c r="E17" s="1" t="n">
        <v>1</v>
      </c>
      <c r="F17" s="1" t="n">
        <v>1</v>
      </c>
      <c r="G17" s="1" t="s">
        <v>23</v>
      </c>
      <c r="H17" s="1" t="n">
        <f aca="false">H16/E17</f>
        <v>14</v>
      </c>
      <c r="I17" s="1" t="n">
        <f aca="false">I16/F17</f>
        <v>14</v>
      </c>
      <c r="J17" s="1" t="n">
        <v>512</v>
      </c>
      <c r="K17" s="3" t="n">
        <f aca="false">H17*I17*J17</f>
        <v>100352</v>
      </c>
      <c r="L17" s="3" t="n">
        <f aca="false">C17*D17*J16*J17</f>
        <v>2359296</v>
      </c>
      <c r="M17" s="3" t="n">
        <f aca="false">L17*H17*I17</f>
        <v>462422016</v>
      </c>
      <c r="N17" s="4" t="n">
        <f aca="false">L17/L$25</f>
        <v>0.0170538210338786</v>
      </c>
      <c r="O17" s="0"/>
    </row>
    <row r="18" customFormat="false" ht="12.8" hidden="false" customHeight="false" outlineLevel="0" collapsed="false">
      <c r="A18" s="1" t="n">
        <v>18</v>
      </c>
      <c r="B18" s="1" t="s">
        <v>42</v>
      </c>
      <c r="C18" s="1" t="n">
        <v>3</v>
      </c>
      <c r="D18" s="1" t="n">
        <v>3</v>
      </c>
      <c r="E18" s="1" t="n">
        <v>1</v>
      </c>
      <c r="F18" s="1" t="n">
        <v>1</v>
      </c>
      <c r="G18" s="1" t="s">
        <v>23</v>
      </c>
      <c r="H18" s="1" t="n">
        <f aca="false">H17/E18</f>
        <v>14</v>
      </c>
      <c r="I18" s="1" t="n">
        <f aca="false">I17/F18</f>
        <v>14</v>
      </c>
      <c r="J18" s="1" t="n">
        <f aca="false">J17</f>
        <v>512</v>
      </c>
      <c r="K18" s="3" t="n">
        <f aca="false">H18*I18*J18</f>
        <v>100352</v>
      </c>
      <c r="L18" s="3" t="n">
        <f aca="false">C18*D18*J17*J18</f>
        <v>2359296</v>
      </c>
      <c r="M18" s="3" t="n">
        <f aca="false">L18*H18*I18</f>
        <v>462422016</v>
      </c>
      <c r="N18" s="4" t="n">
        <f aca="false">L18/L$25</f>
        <v>0.0170538210338786</v>
      </c>
      <c r="O18" s="0"/>
    </row>
    <row r="19" customFormat="false" ht="12.8" hidden="false" customHeight="false" outlineLevel="0" collapsed="false">
      <c r="A19" s="1" t="n">
        <v>20</v>
      </c>
      <c r="B19" s="1" t="s">
        <v>43</v>
      </c>
      <c r="C19" s="1" t="n">
        <v>3</v>
      </c>
      <c r="D19" s="1" t="n">
        <v>3</v>
      </c>
      <c r="E19" s="1" t="n">
        <v>1</v>
      </c>
      <c r="F19" s="1" t="n">
        <v>1</v>
      </c>
      <c r="G19" s="1" t="s">
        <v>23</v>
      </c>
      <c r="H19" s="1" t="n">
        <f aca="false">H18/E19</f>
        <v>14</v>
      </c>
      <c r="I19" s="1" t="n">
        <f aca="false">I18/F19</f>
        <v>14</v>
      </c>
      <c r="J19" s="1" t="n">
        <f aca="false">J18</f>
        <v>512</v>
      </c>
      <c r="K19" s="3" t="n">
        <f aca="false">H19*I19*J19</f>
        <v>100352</v>
      </c>
      <c r="L19" s="3" t="n">
        <f aca="false">C19*D19*J18*J19</f>
        <v>2359296</v>
      </c>
      <c r="M19" s="3" t="n">
        <f aca="false">L19*H19*I19</f>
        <v>462422016</v>
      </c>
      <c r="N19" s="4" t="n">
        <f aca="false">L19/L$25</f>
        <v>0.0170538210338786</v>
      </c>
      <c r="O19" s="0"/>
    </row>
    <row r="20" customFormat="false" ht="12.8" hidden="false" customHeight="false" outlineLevel="0" collapsed="false">
      <c r="A20" s="1" t="n">
        <v>21</v>
      </c>
      <c r="B20" s="1" t="s">
        <v>44</v>
      </c>
      <c r="C20" s="1" t="n">
        <v>2</v>
      </c>
      <c r="D20" s="1" t="n">
        <v>2</v>
      </c>
      <c r="E20" s="1" t="n">
        <v>2</v>
      </c>
      <c r="F20" s="1" t="n">
        <v>2</v>
      </c>
      <c r="G20" s="0"/>
      <c r="H20" s="1" t="n">
        <f aca="false">H19/E20</f>
        <v>7</v>
      </c>
      <c r="I20" s="1" t="n">
        <f aca="false">I19/F20</f>
        <v>7</v>
      </c>
      <c r="J20" s="1" t="n">
        <f aca="false">J19</f>
        <v>512</v>
      </c>
      <c r="K20" s="3" t="n">
        <f aca="false">H20*I20*J20</f>
        <v>25088</v>
      </c>
      <c r="L20" s="3"/>
      <c r="M20" s="3"/>
      <c r="N20" s="4"/>
      <c r="O20" s="0"/>
    </row>
    <row r="21" customFormat="false" ht="12.8" hidden="false" customHeight="false" outlineLevel="0" collapsed="false">
      <c r="A21" s="1" t="n">
        <v>22</v>
      </c>
      <c r="B21" s="1" t="s">
        <v>31</v>
      </c>
      <c r="C21" s="0"/>
      <c r="D21" s="0"/>
      <c r="E21" s="0"/>
      <c r="F21" s="0"/>
      <c r="G21" s="0"/>
      <c r="H21" s="1" t="n">
        <v>1</v>
      </c>
      <c r="I21" s="1" t="n">
        <v>1</v>
      </c>
      <c r="J21" s="1" t="n">
        <v>4096</v>
      </c>
      <c r="K21" s="3" t="n">
        <f aca="false">H21*I21*J21</f>
        <v>4096</v>
      </c>
      <c r="L21" s="3" t="n">
        <f aca="false">H20*I20*J20*J21</f>
        <v>102760448</v>
      </c>
      <c r="M21" s="3" t="n">
        <f aca="false">H20*I20*J20*J21</f>
        <v>102760448</v>
      </c>
      <c r="N21" s="4" t="n">
        <f aca="false">L21/L$25</f>
        <v>0.742788649475603</v>
      </c>
      <c r="O21" s="4"/>
    </row>
    <row r="22" customFormat="false" ht="12.8" hidden="false" customHeight="false" outlineLevel="0" collapsed="false">
      <c r="A22" s="1" t="n">
        <v>23</v>
      </c>
      <c r="B22" s="1" t="s">
        <v>32</v>
      </c>
      <c r="C22" s="0"/>
      <c r="D22" s="0"/>
      <c r="E22" s="0"/>
      <c r="F22" s="0"/>
      <c r="G22" s="0"/>
      <c r="H22" s="1" t="n">
        <v>1</v>
      </c>
      <c r="I22" s="1" t="n">
        <v>1</v>
      </c>
      <c r="J22" s="1" t="n">
        <v>4096</v>
      </c>
      <c r="K22" s="3" t="n">
        <f aca="false">H22*I22*J22</f>
        <v>4096</v>
      </c>
      <c r="L22" s="3" t="n">
        <f aca="false">J21*J22</f>
        <v>16777216</v>
      </c>
      <c r="M22" s="3" t="n">
        <f aca="false">J21*J22</f>
        <v>16777216</v>
      </c>
      <c r="N22" s="4" t="n">
        <f aca="false">L22/L$25</f>
        <v>0.121271616240915</v>
      </c>
    </row>
    <row r="23" customFormat="false" ht="12.8" hidden="false" customHeight="false" outlineLevel="0" collapsed="false">
      <c r="A23" s="1" t="n">
        <v>24</v>
      </c>
      <c r="B23" s="1" t="s">
        <v>33</v>
      </c>
      <c r="C23" s="0"/>
      <c r="D23" s="0"/>
      <c r="E23" s="0"/>
      <c r="F23" s="0"/>
      <c r="G23" s="0"/>
      <c r="H23" s="1" t="n">
        <v>1</v>
      </c>
      <c r="I23" s="1" t="n">
        <v>1</v>
      </c>
      <c r="J23" s="1" t="n">
        <v>1000</v>
      </c>
      <c r="K23" s="3" t="n">
        <f aca="false">H23*I23*J23</f>
        <v>1000</v>
      </c>
      <c r="L23" s="3" t="n">
        <f aca="false">J22*J23</f>
        <v>4096000</v>
      </c>
      <c r="M23" s="3" t="n">
        <f aca="false">J22*J23</f>
        <v>4096000</v>
      </c>
      <c r="N23" s="4" t="n">
        <f aca="false">L23/L$25</f>
        <v>0.0296073281838171</v>
      </c>
    </row>
    <row r="24" customFormat="false" ht="12.8" hidden="false" customHeight="false" outlineLevel="0" collapsed="false">
      <c r="A24" s="1" t="n">
        <v>25</v>
      </c>
      <c r="B24" s="1" t="s">
        <v>45</v>
      </c>
      <c r="C24" s="0"/>
      <c r="D24" s="0"/>
      <c r="E24" s="0"/>
      <c r="F24" s="0"/>
      <c r="G24" s="0"/>
      <c r="H24" s="1" t="n">
        <v>1</v>
      </c>
      <c r="I24" s="1" t="n">
        <v>1</v>
      </c>
      <c r="J24" s="1" t="n">
        <v>1000</v>
      </c>
      <c r="K24" s="3" t="n">
        <f aca="false">H24*I24*J24</f>
        <v>1000</v>
      </c>
      <c r="L24" s="3"/>
      <c r="M24" s="3"/>
      <c r="N24" s="4"/>
    </row>
    <row r="25" customFormat="false" ht="12.8" hidden="false" customHeight="false" outlineLevel="0" collapsed="false">
      <c r="A25" s="5" t="s">
        <v>34</v>
      </c>
      <c r="B25" s="5"/>
      <c r="C25" s="5"/>
      <c r="D25" s="5"/>
      <c r="E25" s="5"/>
      <c r="F25" s="5"/>
      <c r="G25" s="5"/>
      <c r="H25" s="5"/>
      <c r="I25" s="5"/>
      <c r="J25" s="5"/>
      <c r="K25" s="3" t="n">
        <f aca="false">SUM(K2:K24)</f>
        <v>15238608</v>
      </c>
      <c r="L25" s="3" t="n">
        <f aca="false">SUM(L2:L24)</f>
        <v>138344128</v>
      </c>
      <c r="M25" s="3" t="n">
        <f aca="false">SUM(M2:M24)</f>
        <v>15470264320</v>
      </c>
    </row>
  </sheetData>
  <mergeCells count="1">
    <mergeCell ref="A25:J2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25" activeCellId="0" sqref="C25"/>
    </sheetView>
  </sheetViews>
  <sheetFormatPr defaultRowHeight="12.8"/>
  <cols>
    <col collapsed="false" hidden="false" max="1" min="1" style="1" width="10.1224489795918"/>
    <col collapsed="false" hidden="false" max="2" min="2" style="1" width="8.50510204081633"/>
    <col collapsed="false" hidden="false" max="3" min="3" style="1" width="15.3877551020408"/>
    <col collapsed="false" hidden="false" max="4" min="4" style="1" width="14.5816326530612"/>
    <col collapsed="false" hidden="false" max="5" min="5" style="1" width="11.6071428571429"/>
    <col collapsed="false" hidden="false" max="6" min="6" style="1" width="11.3418367346939"/>
    <col collapsed="false" hidden="false" max="7" min="7" style="1" width="10.1224489795918"/>
    <col collapsed="false" hidden="false" max="8" min="8" style="1" width="16.1989795918367"/>
    <col collapsed="false" hidden="false" max="9" min="9" style="1" width="16.469387755102"/>
    <col collapsed="false" hidden="false" max="10" min="10" style="1" width="17.5510204081633"/>
    <col collapsed="false" hidden="false" max="12" min="11" style="1" width="10.6632653061225"/>
    <col collapsed="false" hidden="false" max="13" min="13" style="1" width="14.5816326530612"/>
    <col collapsed="false" hidden="false" max="1025" min="14" style="1" width="10.122448979591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0"/>
    </row>
    <row r="2" customFormat="false" ht="12.8" hidden="false" customHeight="false" outlineLevel="0" collapsed="false">
      <c r="A2" s="1" t="n">
        <v>0</v>
      </c>
      <c r="B2" s="1" t="s">
        <v>15</v>
      </c>
      <c r="C2" s="0"/>
      <c r="D2" s="0"/>
      <c r="E2" s="0"/>
      <c r="F2" s="0"/>
      <c r="G2" s="0"/>
      <c r="H2" s="1" t="n">
        <v>224</v>
      </c>
      <c r="I2" s="1" t="n">
        <v>224</v>
      </c>
      <c r="J2" s="1" t="n">
        <v>3</v>
      </c>
      <c r="K2" s="3" t="n">
        <f aca="false">H2*I2*J2</f>
        <v>150528</v>
      </c>
      <c r="L2" s="3"/>
      <c r="M2" s="3"/>
      <c r="N2" s="4"/>
      <c r="O2" s="0"/>
    </row>
    <row r="3" customFormat="false" ht="12.8" hidden="false" customHeight="false" outlineLevel="0" collapsed="false">
      <c r="A3" s="1" t="n">
        <v>1</v>
      </c>
      <c r="B3" s="1" t="s">
        <v>16</v>
      </c>
      <c r="C3" s="1" t="n">
        <v>3</v>
      </c>
      <c r="D3" s="1" t="n">
        <v>3</v>
      </c>
      <c r="E3" s="1" t="n">
        <v>1</v>
      </c>
      <c r="F3" s="1" t="n">
        <v>1</v>
      </c>
      <c r="G3" s="1" t="s">
        <v>23</v>
      </c>
      <c r="H3" s="1" t="n">
        <f aca="false">H2/E3</f>
        <v>224</v>
      </c>
      <c r="I3" s="1" t="n">
        <f aca="false">I2/F3</f>
        <v>224</v>
      </c>
      <c r="J3" s="1" t="n">
        <v>64</v>
      </c>
      <c r="K3" s="3" t="n">
        <f aca="false">H3*I3*J3</f>
        <v>3211264</v>
      </c>
      <c r="L3" s="3" t="n">
        <f aca="false">C3*D3*J2*J3</f>
        <v>1728</v>
      </c>
      <c r="M3" s="3" t="n">
        <f aca="false">L3*H3*I3</f>
        <v>86704128</v>
      </c>
      <c r="N3" s="4" t="n">
        <f aca="false">L3/L$28</f>
        <v>1.20290247000429E-005</v>
      </c>
      <c r="O3" s="0"/>
    </row>
    <row r="4" customFormat="false" ht="12.8" hidden="false" customHeight="false" outlineLevel="0" collapsed="false">
      <c r="A4" s="1" t="n">
        <v>2</v>
      </c>
      <c r="B4" s="1" t="s">
        <v>35</v>
      </c>
      <c r="C4" s="1" t="n">
        <v>3</v>
      </c>
      <c r="D4" s="1" t="n">
        <v>3</v>
      </c>
      <c r="E4" s="1" t="n">
        <v>1</v>
      </c>
      <c r="F4" s="1" t="n">
        <v>1</v>
      </c>
      <c r="G4" s="1" t="s">
        <v>23</v>
      </c>
      <c r="H4" s="1" t="n">
        <f aca="false">H3/E4</f>
        <v>224</v>
      </c>
      <c r="I4" s="1" t="n">
        <f aca="false">I3/F4</f>
        <v>224</v>
      </c>
      <c r="J4" s="1" t="n">
        <v>64</v>
      </c>
      <c r="K4" s="3" t="n">
        <f aca="false">H4*I4*J4</f>
        <v>3211264</v>
      </c>
      <c r="L4" s="3" t="n">
        <f aca="false">C4*D4*J3*J4</f>
        <v>36864</v>
      </c>
      <c r="M4" s="3" t="n">
        <f aca="false">L4*H4*I4</f>
        <v>1849688064</v>
      </c>
      <c r="N4" s="4" t="n">
        <f aca="false">L4/L$28</f>
        <v>0.000256619193600915</v>
      </c>
      <c r="O4" s="0"/>
    </row>
    <row r="5" customFormat="false" ht="12.8" hidden="false" customHeight="false" outlineLevel="0" collapsed="false">
      <c r="A5" s="1" t="n">
        <v>3</v>
      </c>
      <c r="B5" s="1" t="s">
        <v>20</v>
      </c>
      <c r="C5" s="1" t="n">
        <v>2</v>
      </c>
      <c r="D5" s="1" t="n">
        <v>2</v>
      </c>
      <c r="E5" s="1" t="n">
        <v>2</v>
      </c>
      <c r="F5" s="1" t="n">
        <v>2</v>
      </c>
      <c r="G5" s="0"/>
      <c r="H5" s="1" t="n">
        <f aca="false">H4/E5</f>
        <v>112</v>
      </c>
      <c r="I5" s="1" t="n">
        <f aca="false">I4/F5</f>
        <v>112</v>
      </c>
      <c r="J5" s="1" t="n">
        <f aca="false">J4</f>
        <v>64</v>
      </c>
      <c r="K5" s="3" t="n">
        <f aca="false">H5*I5*J5</f>
        <v>802816</v>
      </c>
      <c r="L5" s="3"/>
      <c r="M5" s="3"/>
      <c r="N5" s="4"/>
      <c r="O5" s="0"/>
    </row>
    <row r="6" customFormat="false" ht="12.8" hidden="false" customHeight="false" outlineLevel="0" collapsed="false">
      <c r="A6" s="1" t="n">
        <v>4</v>
      </c>
      <c r="B6" s="1" t="s">
        <v>22</v>
      </c>
      <c r="C6" s="1" t="n">
        <v>3</v>
      </c>
      <c r="D6" s="1" t="n">
        <v>3</v>
      </c>
      <c r="E6" s="1" t="n">
        <v>1</v>
      </c>
      <c r="F6" s="1" t="n">
        <v>1</v>
      </c>
      <c r="G6" s="1" t="s">
        <v>23</v>
      </c>
      <c r="H6" s="1" t="n">
        <f aca="false">H5/E6</f>
        <v>112</v>
      </c>
      <c r="I6" s="1" t="n">
        <f aca="false">I5/F6</f>
        <v>112</v>
      </c>
      <c r="J6" s="1" t="n">
        <v>128</v>
      </c>
      <c r="K6" s="3" t="n">
        <f aca="false">H6*I6*J6</f>
        <v>1605632</v>
      </c>
      <c r="L6" s="3" t="n">
        <f aca="false">C6*D6*J5*J6</f>
        <v>73728</v>
      </c>
      <c r="M6" s="3" t="n">
        <f aca="false">L6*H6*I6</f>
        <v>924844032</v>
      </c>
      <c r="N6" s="4" t="n">
        <f aca="false">L6/L$28</f>
        <v>0.000513238387201831</v>
      </c>
      <c r="O6" s="0"/>
    </row>
    <row r="7" customFormat="false" ht="12.8" hidden="false" customHeight="false" outlineLevel="0" collapsed="false">
      <c r="A7" s="1" t="n">
        <v>5</v>
      </c>
      <c r="B7" s="1" t="s">
        <v>36</v>
      </c>
      <c r="C7" s="1" t="n">
        <v>3</v>
      </c>
      <c r="D7" s="1" t="n">
        <v>3</v>
      </c>
      <c r="E7" s="1" t="n">
        <v>1</v>
      </c>
      <c r="F7" s="1" t="n">
        <v>1</v>
      </c>
      <c r="G7" s="1" t="s">
        <v>23</v>
      </c>
      <c r="H7" s="1" t="n">
        <f aca="false">H6/E7</f>
        <v>112</v>
      </c>
      <c r="I7" s="1" t="n">
        <f aca="false">I6/F7</f>
        <v>112</v>
      </c>
      <c r="J7" s="1" t="n">
        <v>128</v>
      </c>
      <c r="K7" s="3" t="n">
        <f aca="false">H7*I7*J7</f>
        <v>1605632</v>
      </c>
      <c r="L7" s="3" t="n">
        <f aca="false">C7*D7*J6*J7</f>
        <v>147456</v>
      </c>
      <c r="M7" s="3" t="n">
        <f aca="false">L7*H7*I7</f>
        <v>1849688064</v>
      </c>
      <c r="N7" s="4" t="n">
        <f aca="false">L7/L$28</f>
        <v>0.00102647677440366</v>
      </c>
      <c r="O7" s="0"/>
    </row>
    <row r="8" customFormat="false" ht="12.8" hidden="false" customHeight="false" outlineLevel="0" collapsed="false">
      <c r="A8" s="1" t="n">
        <v>6</v>
      </c>
      <c r="B8" s="1" t="s">
        <v>24</v>
      </c>
      <c r="C8" s="1" t="n">
        <v>2</v>
      </c>
      <c r="D8" s="1" t="n">
        <v>2</v>
      </c>
      <c r="E8" s="1" t="n">
        <v>2</v>
      </c>
      <c r="F8" s="1" t="n">
        <v>2</v>
      </c>
      <c r="G8" s="0"/>
      <c r="H8" s="1" t="n">
        <f aca="false">H7/E8</f>
        <v>56</v>
      </c>
      <c r="I8" s="1" t="n">
        <f aca="false">I7/F8</f>
        <v>56</v>
      </c>
      <c r="J8" s="1" t="n">
        <f aca="false">J7</f>
        <v>128</v>
      </c>
      <c r="K8" s="3" t="n">
        <f aca="false">H8*I8*J8</f>
        <v>401408</v>
      </c>
      <c r="L8" s="3"/>
      <c r="M8" s="3"/>
      <c r="N8" s="4"/>
      <c r="O8" s="0"/>
    </row>
    <row r="9" customFormat="false" ht="12.8" hidden="false" customHeight="false" outlineLevel="0" collapsed="false">
      <c r="A9" s="1" t="n">
        <v>7</v>
      </c>
      <c r="B9" s="1" t="s">
        <v>26</v>
      </c>
      <c r="C9" s="1" t="n">
        <v>3</v>
      </c>
      <c r="D9" s="1" t="n">
        <v>3</v>
      </c>
      <c r="E9" s="1" t="n">
        <v>1</v>
      </c>
      <c r="F9" s="1" t="n">
        <v>1</v>
      </c>
      <c r="G9" s="1" t="s">
        <v>23</v>
      </c>
      <c r="H9" s="1" t="n">
        <f aca="false">H8/E9</f>
        <v>56</v>
      </c>
      <c r="I9" s="1" t="n">
        <f aca="false">I8/F9</f>
        <v>56</v>
      </c>
      <c r="J9" s="1" t="n">
        <v>256</v>
      </c>
      <c r="K9" s="3" t="n">
        <f aca="false">H9*I9*J9</f>
        <v>802816</v>
      </c>
      <c r="L9" s="3" t="n">
        <f aca="false">C9*D9*J8*J9</f>
        <v>294912</v>
      </c>
      <c r="M9" s="3" t="n">
        <f aca="false">L9*H9*I9</f>
        <v>924844032</v>
      </c>
      <c r="N9" s="4" t="n">
        <f aca="false">L9/L$28</f>
        <v>0.00205295354880732</v>
      </c>
      <c r="O9" s="0"/>
    </row>
    <row r="10" customFormat="false" ht="12.8" hidden="false" customHeight="false" outlineLevel="0" collapsed="false">
      <c r="A10" s="1" t="n">
        <v>8</v>
      </c>
      <c r="B10" s="1" t="s">
        <v>27</v>
      </c>
      <c r="C10" s="1" t="n">
        <v>3</v>
      </c>
      <c r="D10" s="1" t="n">
        <v>3</v>
      </c>
      <c r="E10" s="1" t="n">
        <v>1</v>
      </c>
      <c r="F10" s="1" t="n">
        <v>1</v>
      </c>
      <c r="G10" s="1" t="s">
        <v>23</v>
      </c>
      <c r="H10" s="1" t="n">
        <f aca="false">H9/E10</f>
        <v>56</v>
      </c>
      <c r="I10" s="1" t="n">
        <f aca="false">I9/F10</f>
        <v>56</v>
      </c>
      <c r="J10" s="1" t="n">
        <v>256</v>
      </c>
      <c r="K10" s="3" t="n">
        <f aca="false">H10*I10*J10</f>
        <v>802816</v>
      </c>
      <c r="L10" s="3" t="n">
        <f aca="false">C10*D10*J9*J10</f>
        <v>589824</v>
      </c>
      <c r="M10" s="3" t="n">
        <f aca="false">L10*H10*I10</f>
        <v>1849688064</v>
      </c>
      <c r="N10" s="4" t="n">
        <f aca="false">L10/L$28</f>
        <v>0.00410590709761464</v>
      </c>
      <c r="O10" s="0"/>
    </row>
    <row r="11" customFormat="false" ht="12.8" hidden="false" customHeight="false" outlineLevel="0" collapsed="false">
      <c r="A11" s="1" t="n">
        <v>9</v>
      </c>
      <c r="B11" s="1" t="s">
        <v>29</v>
      </c>
      <c r="C11" s="1" t="n">
        <v>3</v>
      </c>
      <c r="D11" s="1" t="n">
        <v>3</v>
      </c>
      <c r="E11" s="1" t="n">
        <v>1</v>
      </c>
      <c r="F11" s="1" t="n">
        <v>1</v>
      </c>
      <c r="G11" s="1" t="s">
        <v>23</v>
      </c>
      <c r="H11" s="1" t="n">
        <f aca="false">H10/E11</f>
        <v>56</v>
      </c>
      <c r="I11" s="1" t="n">
        <f aca="false">I10/F11</f>
        <v>56</v>
      </c>
      <c r="J11" s="1" t="n">
        <v>256</v>
      </c>
      <c r="K11" s="3" t="n">
        <f aca="false">H11*I11*J11</f>
        <v>802816</v>
      </c>
      <c r="L11" s="3" t="n">
        <f aca="false">C11*D11*J10*J11</f>
        <v>589824</v>
      </c>
      <c r="M11" s="3" t="n">
        <f aca="false">L11*H11*I11</f>
        <v>1849688064</v>
      </c>
      <c r="N11" s="4" t="n">
        <f aca="false">L11/L$28</f>
        <v>0.00410590709761464</v>
      </c>
      <c r="O11" s="0"/>
    </row>
    <row r="12" customFormat="false" ht="12.8" hidden="false" customHeight="false" outlineLevel="0" collapsed="false">
      <c r="A12" s="1" t="n">
        <v>10</v>
      </c>
      <c r="B12" s="1" t="s">
        <v>46</v>
      </c>
      <c r="C12" s="1" t="n">
        <v>3</v>
      </c>
      <c r="D12" s="1" t="n">
        <v>3</v>
      </c>
      <c r="E12" s="1" t="n">
        <v>1</v>
      </c>
      <c r="F12" s="1" t="n">
        <v>1</v>
      </c>
      <c r="G12" s="1" t="s">
        <v>23</v>
      </c>
      <c r="H12" s="1" t="n">
        <f aca="false">H11/E12</f>
        <v>56</v>
      </c>
      <c r="I12" s="1" t="n">
        <f aca="false">I11/F12</f>
        <v>56</v>
      </c>
      <c r="J12" s="1" t="n">
        <v>256</v>
      </c>
      <c r="K12" s="3" t="n">
        <f aca="false">H12*I12*J12</f>
        <v>802816</v>
      </c>
      <c r="L12" s="3" t="n">
        <f aca="false">C12*D12*J11*J12</f>
        <v>589824</v>
      </c>
      <c r="M12" s="3" t="n">
        <f aca="false">L12*H12*I12</f>
        <v>1849688064</v>
      </c>
      <c r="N12" s="4" t="n">
        <f aca="false">L12/L$28</f>
        <v>0.00410590709761464</v>
      </c>
      <c r="O12" s="0"/>
    </row>
    <row r="13" customFormat="false" ht="12.8" hidden="false" customHeight="false" outlineLevel="0" collapsed="false">
      <c r="A13" s="1" t="n">
        <v>11</v>
      </c>
      <c r="B13" s="1" t="s">
        <v>30</v>
      </c>
      <c r="C13" s="1" t="n">
        <v>2</v>
      </c>
      <c r="D13" s="1" t="n">
        <v>2</v>
      </c>
      <c r="E13" s="1" t="n">
        <v>2</v>
      </c>
      <c r="F13" s="1" t="n">
        <v>2</v>
      </c>
      <c r="G13" s="0"/>
      <c r="H13" s="1" t="n">
        <f aca="false">H12/E13</f>
        <v>28</v>
      </c>
      <c r="I13" s="1" t="n">
        <f aca="false">I12/F13</f>
        <v>28</v>
      </c>
      <c r="J13" s="1" t="n">
        <f aca="false">J12</f>
        <v>256</v>
      </c>
      <c r="K13" s="3" t="n">
        <f aca="false">H13*I13*J13</f>
        <v>200704</v>
      </c>
      <c r="L13" s="3"/>
      <c r="M13" s="3"/>
      <c r="N13" s="4"/>
      <c r="O13" s="0"/>
    </row>
    <row r="14" customFormat="false" ht="12.8" hidden="false" customHeight="false" outlineLevel="0" collapsed="false">
      <c r="A14" s="1" t="n">
        <v>12</v>
      </c>
      <c r="B14" s="1" t="s">
        <v>37</v>
      </c>
      <c r="C14" s="1" t="n">
        <v>3</v>
      </c>
      <c r="D14" s="1" t="n">
        <v>3</v>
      </c>
      <c r="E14" s="1" t="n">
        <v>1</v>
      </c>
      <c r="F14" s="1" t="n">
        <v>1</v>
      </c>
      <c r="G14" s="1" t="s">
        <v>23</v>
      </c>
      <c r="H14" s="1" t="n">
        <f aca="false">H13/E14</f>
        <v>28</v>
      </c>
      <c r="I14" s="1" t="n">
        <f aca="false">I13/F14</f>
        <v>28</v>
      </c>
      <c r="J14" s="1" t="n">
        <v>512</v>
      </c>
      <c r="K14" s="3" t="n">
        <f aca="false">H14*I14*J14</f>
        <v>401408</v>
      </c>
      <c r="L14" s="3" t="n">
        <f aca="false">C14*D14*J13*J14</f>
        <v>1179648</v>
      </c>
      <c r="M14" s="3" t="n">
        <f aca="false">L14*H14*I14</f>
        <v>924844032</v>
      </c>
      <c r="N14" s="4" t="n">
        <f aca="false">L14/L$28</f>
        <v>0.00821181419522929</v>
      </c>
      <c r="O14" s="0"/>
    </row>
    <row r="15" customFormat="false" ht="12.8" hidden="false" customHeight="false" outlineLevel="0" collapsed="false">
      <c r="A15" s="1" t="n">
        <v>13</v>
      </c>
      <c r="B15" s="1" t="s">
        <v>38</v>
      </c>
      <c r="C15" s="1" t="n">
        <v>3</v>
      </c>
      <c r="D15" s="1" t="n">
        <v>3</v>
      </c>
      <c r="E15" s="1" t="n">
        <v>1</v>
      </c>
      <c r="F15" s="1" t="n">
        <v>1</v>
      </c>
      <c r="G15" s="1" t="s">
        <v>23</v>
      </c>
      <c r="H15" s="1" t="n">
        <f aca="false">H14/E15</f>
        <v>28</v>
      </c>
      <c r="I15" s="1" t="n">
        <f aca="false">I14/F15</f>
        <v>28</v>
      </c>
      <c r="J15" s="1" t="n">
        <f aca="false">J14</f>
        <v>512</v>
      </c>
      <c r="K15" s="3" t="n">
        <f aca="false">H15*I15*J15</f>
        <v>401408</v>
      </c>
      <c r="L15" s="3" t="n">
        <f aca="false">C15*D15*J14*J15</f>
        <v>2359296</v>
      </c>
      <c r="M15" s="3" t="n">
        <f aca="false">L15*H15*I15</f>
        <v>1849688064</v>
      </c>
      <c r="N15" s="4" t="n">
        <f aca="false">L15/L$28</f>
        <v>0.0164236283904586</v>
      </c>
      <c r="O15" s="0"/>
    </row>
    <row r="16" customFormat="false" ht="12.8" hidden="false" customHeight="false" outlineLevel="0" collapsed="false">
      <c r="A16" s="1" t="n">
        <v>14</v>
      </c>
      <c r="B16" s="1" t="s">
        <v>39</v>
      </c>
      <c r="C16" s="1" t="n">
        <v>3</v>
      </c>
      <c r="D16" s="1" t="n">
        <v>3</v>
      </c>
      <c r="E16" s="1" t="n">
        <v>1</v>
      </c>
      <c r="F16" s="1" t="n">
        <v>1</v>
      </c>
      <c r="G16" s="1" t="s">
        <v>23</v>
      </c>
      <c r="H16" s="1" t="n">
        <f aca="false">H15/E16</f>
        <v>28</v>
      </c>
      <c r="I16" s="1" t="n">
        <f aca="false">I15/F16</f>
        <v>28</v>
      </c>
      <c r="J16" s="1" t="n">
        <f aca="false">J15</f>
        <v>512</v>
      </c>
      <c r="K16" s="3" t="n">
        <f aca="false">H16*I16*J16</f>
        <v>401408</v>
      </c>
      <c r="L16" s="3" t="n">
        <f aca="false">C16*D16*J15*J16</f>
        <v>2359296</v>
      </c>
      <c r="M16" s="3" t="n">
        <f aca="false">L16*H16*I16</f>
        <v>1849688064</v>
      </c>
      <c r="N16" s="4" t="n">
        <f aca="false">L16/L$28</f>
        <v>0.0164236283904586</v>
      </c>
      <c r="O16" s="0"/>
    </row>
    <row r="17" customFormat="false" ht="12.8" hidden="false" customHeight="false" outlineLevel="0" collapsed="false">
      <c r="A17" s="1" t="n">
        <v>15</v>
      </c>
      <c r="B17" s="1" t="s">
        <v>47</v>
      </c>
      <c r="C17" s="1" t="n">
        <v>3</v>
      </c>
      <c r="D17" s="1" t="n">
        <v>3</v>
      </c>
      <c r="E17" s="1" t="n">
        <v>1</v>
      </c>
      <c r="F17" s="1" t="n">
        <v>1</v>
      </c>
      <c r="G17" s="1" t="s">
        <v>23</v>
      </c>
      <c r="H17" s="1" t="n">
        <f aca="false">H16/E17</f>
        <v>28</v>
      </c>
      <c r="I17" s="1" t="n">
        <f aca="false">I16/F17</f>
        <v>28</v>
      </c>
      <c r="J17" s="1" t="n">
        <f aca="false">J16</f>
        <v>512</v>
      </c>
      <c r="K17" s="3" t="n">
        <f aca="false">H17*I17*J17</f>
        <v>401408</v>
      </c>
      <c r="L17" s="3" t="n">
        <f aca="false">C17*D17*J16*J17</f>
        <v>2359296</v>
      </c>
      <c r="M17" s="3" t="n">
        <f aca="false">L17*H17*I17</f>
        <v>1849688064</v>
      </c>
      <c r="N17" s="4" t="n">
        <f aca="false">L17/L$28</f>
        <v>0.0164236283904586</v>
      </c>
      <c r="O17" s="0"/>
    </row>
    <row r="18" customFormat="false" ht="12.8" hidden="false" customHeight="false" outlineLevel="0" collapsed="false">
      <c r="A18" s="1" t="n">
        <v>16</v>
      </c>
      <c r="B18" s="1" t="s">
        <v>40</v>
      </c>
      <c r="C18" s="1" t="n">
        <v>2</v>
      </c>
      <c r="D18" s="1" t="n">
        <v>2</v>
      </c>
      <c r="E18" s="1" t="n">
        <v>2</v>
      </c>
      <c r="F18" s="1" t="n">
        <v>2</v>
      </c>
      <c r="G18" s="0"/>
      <c r="H18" s="1" t="n">
        <f aca="false">H17/E18</f>
        <v>14</v>
      </c>
      <c r="I18" s="1" t="n">
        <f aca="false">I17/F18</f>
        <v>14</v>
      </c>
      <c r="J18" s="1" t="n">
        <f aca="false">J17</f>
        <v>512</v>
      </c>
      <c r="K18" s="3" t="n">
        <f aca="false">H18*I18*J18</f>
        <v>100352</v>
      </c>
      <c r="L18" s="3"/>
      <c r="M18" s="3"/>
      <c r="N18" s="4"/>
      <c r="O18" s="0"/>
    </row>
    <row r="19" customFormat="false" ht="12.8" hidden="false" customHeight="false" outlineLevel="0" collapsed="false">
      <c r="A19" s="1" t="n">
        <v>17</v>
      </c>
      <c r="B19" s="1" t="s">
        <v>41</v>
      </c>
      <c r="C19" s="1" t="n">
        <v>3</v>
      </c>
      <c r="D19" s="1" t="n">
        <v>3</v>
      </c>
      <c r="E19" s="1" t="n">
        <v>1</v>
      </c>
      <c r="F19" s="1" t="n">
        <v>1</v>
      </c>
      <c r="G19" s="1" t="s">
        <v>23</v>
      </c>
      <c r="H19" s="1" t="n">
        <f aca="false">H18/E19</f>
        <v>14</v>
      </c>
      <c r="I19" s="1" t="n">
        <f aca="false">I18/F19</f>
        <v>14</v>
      </c>
      <c r="J19" s="1" t="n">
        <v>512</v>
      </c>
      <c r="K19" s="3" t="n">
        <f aca="false">H19*I19*J19</f>
        <v>100352</v>
      </c>
      <c r="L19" s="3" t="n">
        <f aca="false">C19*D19*J18*J19</f>
        <v>2359296</v>
      </c>
      <c r="M19" s="3" t="n">
        <f aca="false">L19*H19*I19</f>
        <v>462422016</v>
      </c>
      <c r="N19" s="4" t="n">
        <f aca="false">L19/L$28</f>
        <v>0.0164236283904586</v>
      </c>
      <c r="O19" s="0"/>
    </row>
    <row r="20" customFormat="false" ht="12.8" hidden="false" customHeight="false" outlineLevel="0" collapsed="false">
      <c r="A20" s="1" t="n">
        <v>18</v>
      </c>
      <c r="B20" s="1" t="s">
        <v>42</v>
      </c>
      <c r="C20" s="1" t="n">
        <v>3</v>
      </c>
      <c r="D20" s="1" t="n">
        <v>3</v>
      </c>
      <c r="E20" s="1" t="n">
        <v>1</v>
      </c>
      <c r="F20" s="1" t="n">
        <v>1</v>
      </c>
      <c r="G20" s="1" t="s">
        <v>23</v>
      </c>
      <c r="H20" s="1" t="n">
        <f aca="false">H19/E20</f>
        <v>14</v>
      </c>
      <c r="I20" s="1" t="n">
        <f aca="false">I19/F20</f>
        <v>14</v>
      </c>
      <c r="J20" s="1" t="n">
        <f aca="false">J19</f>
        <v>512</v>
      </c>
      <c r="K20" s="3" t="n">
        <f aca="false">H20*I20*J20</f>
        <v>100352</v>
      </c>
      <c r="L20" s="3" t="n">
        <f aca="false">C20*D20*J19*J20</f>
        <v>2359296</v>
      </c>
      <c r="M20" s="3" t="n">
        <f aca="false">L20*H20*I20</f>
        <v>462422016</v>
      </c>
      <c r="N20" s="4" t="n">
        <f aca="false">L20/L$28</f>
        <v>0.0164236283904586</v>
      </c>
      <c r="O20" s="0"/>
    </row>
    <row r="21" customFormat="false" ht="12.8" hidden="false" customHeight="false" outlineLevel="0" collapsed="false">
      <c r="A21" s="1" t="n">
        <v>19</v>
      </c>
      <c r="B21" s="1" t="s">
        <v>43</v>
      </c>
      <c r="C21" s="1" t="n">
        <v>3</v>
      </c>
      <c r="D21" s="1" t="n">
        <v>3</v>
      </c>
      <c r="E21" s="1" t="n">
        <v>1</v>
      </c>
      <c r="F21" s="1" t="n">
        <v>1</v>
      </c>
      <c r="G21" s="1" t="s">
        <v>23</v>
      </c>
      <c r="H21" s="1" t="n">
        <f aca="false">H20/E21</f>
        <v>14</v>
      </c>
      <c r="I21" s="1" t="n">
        <f aca="false">I20/F21</f>
        <v>14</v>
      </c>
      <c r="J21" s="1" t="n">
        <f aca="false">J20</f>
        <v>512</v>
      </c>
      <c r="K21" s="3" t="n">
        <f aca="false">H21*I21*J21</f>
        <v>100352</v>
      </c>
      <c r="L21" s="3" t="n">
        <f aca="false">C21*D21*J20*J21</f>
        <v>2359296</v>
      </c>
      <c r="M21" s="3" t="n">
        <f aca="false">L21*H21*I21</f>
        <v>462422016</v>
      </c>
      <c r="N21" s="4" t="n">
        <f aca="false">L21/L$28</f>
        <v>0.0164236283904586</v>
      </c>
      <c r="O21" s="0"/>
    </row>
    <row r="22" customFormat="false" ht="12.8" hidden="false" customHeight="false" outlineLevel="0" collapsed="false">
      <c r="A22" s="1" t="n">
        <v>20</v>
      </c>
      <c r="B22" s="1" t="s">
        <v>48</v>
      </c>
      <c r="C22" s="1" t="n">
        <v>3</v>
      </c>
      <c r="D22" s="1" t="n">
        <v>3</v>
      </c>
      <c r="E22" s="1" t="n">
        <v>1</v>
      </c>
      <c r="F22" s="1" t="n">
        <v>1</v>
      </c>
      <c r="G22" s="1" t="s">
        <v>23</v>
      </c>
      <c r="H22" s="1" t="n">
        <f aca="false">H21/E22</f>
        <v>14</v>
      </c>
      <c r="I22" s="1" t="n">
        <f aca="false">I21/F22</f>
        <v>14</v>
      </c>
      <c r="J22" s="1" t="n">
        <f aca="false">J21</f>
        <v>512</v>
      </c>
      <c r="K22" s="3" t="n">
        <f aca="false">H22*I22*J22</f>
        <v>100352</v>
      </c>
      <c r="L22" s="3" t="n">
        <f aca="false">C22*D22*J21*J22</f>
        <v>2359296</v>
      </c>
      <c r="M22" s="3" t="n">
        <f aca="false">L22*H22*I22</f>
        <v>462422016</v>
      </c>
      <c r="N22" s="4" t="n">
        <f aca="false">L22/L$28</f>
        <v>0.0164236283904586</v>
      </c>
      <c r="O22" s="0"/>
    </row>
    <row r="23" customFormat="false" ht="12.8" hidden="false" customHeight="false" outlineLevel="0" collapsed="false">
      <c r="A23" s="1" t="n">
        <v>21</v>
      </c>
      <c r="B23" s="1" t="s">
        <v>44</v>
      </c>
      <c r="C23" s="1" t="n">
        <v>2</v>
      </c>
      <c r="D23" s="1" t="n">
        <v>2</v>
      </c>
      <c r="E23" s="1" t="n">
        <v>2</v>
      </c>
      <c r="F23" s="1" t="n">
        <v>2</v>
      </c>
      <c r="G23" s="0"/>
      <c r="H23" s="1" t="n">
        <f aca="false">H22/E23</f>
        <v>7</v>
      </c>
      <c r="I23" s="1" t="n">
        <f aca="false">I22/F23</f>
        <v>7</v>
      </c>
      <c r="J23" s="1" t="n">
        <f aca="false">J22</f>
        <v>512</v>
      </c>
      <c r="K23" s="3" t="n">
        <f aca="false">H23*I23*J23</f>
        <v>25088</v>
      </c>
      <c r="L23" s="3"/>
      <c r="M23" s="3"/>
      <c r="N23" s="4"/>
      <c r="O23" s="0"/>
    </row>
    <row r="24" customFormat="false" ht="12.8" hidden="false" customHeight="false" outlineLevel="0" collapsed="false">
      <c r="A24" s="1" t="n">
        <v>22</v>
      </c>
      <c r="B24" s="1" t="s">
        <v>31</v>
      </c>
      <c r="C24" s="0"/>
      <c r="D24" s="0"/>
      <c r="E24" s="0"/>
      <c r="F24" s="0"/>
      <c r="G24" s="0"/>
      <c r="H24" s="1" t="n">
        <v>1</v>
      </c>
      <c r="I24" s="1" t="n">
        <v>1</v>
      </c>
      <c r="J24" s="1" t="n">
        <v>4096</v>
      </c>
      <c r="K24" s="3" t="n">
        <f aca="false">H24*I24*J24</f>
        <v>4096</v>
      </c>
      <c r="L24" s="3" t="n">
        <f aca="false">H23*I23*J23*J24</f>
        <v>102760448</v>
      </c>
      <c r="M24" s="3" t="n">
        <f aca="false">H23*I23*J23*J24</f>
        <v>102760448</v>
      </c>
      <c r="N24" s="4" t="n">
        <f aca="false">L24/L$28</f>
        <v>0.715340258784418</v>
      </c>
      <c r="O24" s="4"/>
    </row>
    <row r="25" customFormat="false" ht="12.8" hidden="false" customHeight="false" outlineLevel="0" collapsed="false">
      <c r="A25" s="1" t="n">
        <v>23</v>
      </c>
      <c r="B25" s="1" t="s">
        <v>32</v>
      </c>
      <c r="C25" s="0"/>
      <c r="D25" s="0"/>
      <c r="E25" s="0"/>
      <c r="F25" s="0"/>
      <c r="G25" s="0"/>
      <c r="H25" s="1" t="n">
        <v>1</v>
      </c>
      <c r="I25" s="1" t="n">
        <v>1</v>
      </c>
      <c r="J25" s="1" t="n">
        <v>4096</v>
      </c>
      <c r="K25" s="3" t="n">
        <f aca="false">H25*I25*J25</f>
        <v>4096</v>
      </c>
      <c r="L25" s="3" t="n">
        <f aca="false">J24*J25</f>
        <v>16777216</v>
      </c>
      <c r="M25" s="3" t="n">
        <f aca="false">J24*J25</f>
        <v>16777216</v>
      </c>
      <c r="N25" s="4" t="n">
        <f aca="false">L25/L$28</f>
        <v>0.11679024633215</v>
      </c>
    </row>
    <row r="26" customFormat="false" ht="12.8" hidden="false" customHeight="false" outlineLevel="0" collapsed="false">
      <c r="A26" s="1" t="n">
        <v>24</v>
      </c>
      <c r="B26" s="1" t="s">
        <v>33</v>
      </c>
      <c r="C26" s="0"/>
      <c r="D26" s="0"/>
      <c r="E26" s="0"/>
      <c r="F26" s="0"/>
      <c r="G26" s="0"/>
      <c r="H26" s="1" t="n">
        <v>1</v>
      </c>
      <c r="I26" s="1" t="n">
        <v>1</v>
      </c>
      <c r="J26" s="1" t="n">
        <v>1000</v>
      </c>
      <c r="K26" s="3" t="n">
        <f aca="false">H26*I26*J26</f>
        <v>1000</v>
      </c>
      <c r="L26" s="3" t="n">
        <f aca="false">J25*J26</f>
        <v>4096000</v>
      </c>
      <c r="M26" s="3" t="n">
        <f aca="false">J25*J26</f>
        <v>4096000</v>
      </c>
      <c r="N26" s="4" t="n">
        <f aca="false">L26/L$28</f>
        <v>0.028513243733435</v>
      </c>
    </row>
    <row r="27" customFormat="false" ht="12.8" hidden="false" customHeight="false" outlineLevel="0" collapsed="false">
      <c r="A27" s="1" t="n">
        <v>25</v>
      </c>
      <c r="B27" s="1" t="s">
        <v>45</v>
      </c>
      <c r="C27" s="0"/>
      <c r="D27" s="0"/>
      <c r="E27" s="0"/>
      <c r="F27" s="0"/>
      <c r="G27" s="0"/>
      <c r="H27" s="1" t="n">
        <v>1</v>
      </c>
      <c r="I27" s="1" t="n">
        <v>1</v>
      </c>
      <c r="J27" s="1" t="n">
        <v>1000</v>
      </c>
      <c r="K27" s="3" t="n">
        <f aca="false">H27*I27*J27</f>
        <v>1000</v>
      </c>
      <c r="L27" s="3"/>
      <c r="M27" s="3"/>
      <c r="N27" s="4"/>
    </row>
    <row r="28" customFormat="false" ht="12.8" hidden="false" customHeight="false" outlineLevel="0" collapsed="false">
      <c r="A28" s="5" t="s">
        <v>34</v>
      </c>
      <c r="B28" s="5"/>
      <c r="C28" s="5"/>
      <c r="D28" s="5"/>
      <c r="E28" s="5"/>
      <c r="F28" s="5"/>
      <c r="G28" s="5"/>
      <c r="H28" s="5"/>
      <c r="I28" s="5"/>
      <c r="J28" s="5"/>
      <c r="K28" s="3" t="n">
        <f aca="false">SUM(K2:K27)</f>
        <v>16543184</v>
      </c>
      <c r="L28" s="3" t="n">
        <f aca="false">SUM(L2:L27)</f>
        <v>143652544</v>
      </c>
      <c r="M28" s="3" t="n">
        <f aca="false">SUM(M2:M27)</f>
        <v>19632062464</v>
      </c>
    </row>
  </sheetData>
  <mergeCells count="1">
    <mergeCell ref="A28:J28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55"/>
  <sheetViews>
    <sheetView windowProtection="false" showFormulas="false" showGridLines="true" showRowColHeaders="true" showZeros="true" rightToLeft="false" tabSelected="false" showOutlineSymbols="true" defaultGridColor="true" view="normal" topLeftCell="A13" colorId="64" zoomScale="120" zoomScaleNormal="120" zoomScalePageLayoutView="100" workbookViewId="0">
      <selection pane="topLeft" activeCell="C12" activeCellId="0" sqref="C12"/>
    </sheetView>
  </sheetViews>
  <sheetFormatPr defaultRowHeight="12.8"/>
  <cols>
    <col collapsed="false" hidden="false" max="1" min="1" style="1" width="10.1224489795918"/>
    <col collapsed="false" hidden="false" max="2" min="2" style="1" width="16.0663265306122"/>
    <col collapsed="false" hidden="false" max="3" min="3" style="1" width="16.7397959183673"/>
    <col collapsed="false" hidden="false" max="4" min="4" style="1" width="15.6581632653061"/>
    <col collapsed="false" hidden="false" max="5" min="5" style="1" width="11.6071428571429"/>
    <col collapsed="false" hidden="false" max="6" min="6" style="1" width="11.3418367346939"/>
    <col collapsed="false" hidden="false" max="7" min="7" style="1" width="10.1224489795918"/>
    <col collapsed="false" hidden="false" max="8" min="8" style="1" width="16.1989795918367"/>
    <col collapsed="false" hidden="false" max="9" min="9" style="1" width="16.469387755102"/>
    <col collapsed="false" hidden="false" max="10" min="10" style="1" width="17.5510204081633"/>
    <col collapsed="false" hidden="false" max="12" min="11" style="1" width="10.6632653061225"/>
    <col collapsed="false" hidden="false" max="13" min="13" style="1" width="12.9591836734694"/>
    <col collapsed="false" hidden="false" max="14" min="14" style="1" width="10.1224489795918"/>
    <col collapsed="false" hidden="false" max="15" min="15" style="1" width="18.0867346938776"/>
    <col collapsed="false" hidden="false" max="1025" min="16" style="1" width="10.122448979591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1" t="s">
        <v>13</v>
      </c>
    </row>
    <row r="2" customFormat="false" ht="12.8" hidden="false" customHeight="false" outlineLevel="0" collapsed="false">
      <c r="A2" s="1" t="n">
        <v>0</v>
      </c>
      <c r="B2" s="1" t="s">
        <v>15</v>
      </c>
      <c r="C2" s="0"/>
      <c r="D2" s="0"/>
      <c r="E2" s="0"/>
      <c r="F2" s="0"/>
      <c r="G2" s="0"/>
      <c r="H2" s="1" t="n">
        <v>224</v>
      </c>
      <c r="I2" s="1" t="n">
        <v>224</v>
      </c>
      <c r="J2" s="1" t="n">
        <v>3</v>
      </c>
      <c r="K2" s="3" t="n">
        <f aca="false">H2*I2*J2</f>
        <v>150528</v>
      </c>
      <c r="L2" s="3"/>
      <c r="M2" s="3"/>
      <c r="N2" s="4"/>
    </row>
    <row r="3" customFormat="false" ht="12.8" hidden="false" customHeight="false" outlineLevel="0" collapsed="false">
      <c r="A3" s="1" t="n">
        <v>1</v>
      </c>
      <c r="B3" s="1" t="s">
        <v>49</v>
      </c>
      <c r="C3" s="1" t="n">
        <v>7</v>
      </c>
      <c r="D3" s="1" t="n">
        <v>7</v>
      </c>
      <c r="E3" s="1" t="n">
        <v>2</v>
      </c>
      <c r="F3" s="1" t="n">
        <v>2</v>
      </c>
      <c r="G3" s="1" t="s">
        <v>23</v>
      </c>
      <c r="H3" s="1" t="n">
        <f aca="false">H2/E3</f>
        <v>112</v>
      </c>
      <c r="I3" s="1" t="n">
        <f aca="false">I2/F3</f>
        <v>112</v>
      </c>
      <c r="J3" s="1" t="n">
        <v>64</v>
      </c>
      <c r="K3" s="3" t="n">
        <f aca="false">H3*I3*J3</f>
        <v>802816</v>
      </c>
      <c r="L3" s="3" t="n">
        <f aca="false">C3*D3*J2*J3</f>
        <v>9408</v>
      </c>
      <c r="M3" s="3" t="n">
        <f aca="false">L3*H3*I3</f>
        <v>118013952</v>
      </c>
      <c r="N3" s="4" t="n">
        <f aca="false">M3/M$55</f>
        <v>0.0323814383283751</v>
      </c>
    </row>
    <row r="4" customFormat="false" ht="12.8" hidden="false" customHeight="false" outlineLevel="0" collapsed="false">
      <c r="A4" s="1" t="n">
        <v>2</v>
      </c>
      <c r="B4" s="1" t="s">
        <v>20</v>
      </c>
      <c r="C4" s="1" t="n">
        <v>2</v>
      </c>
      <c r="D4" s="1" t="n">
        <v>2</v>
      </c>
      <c r="E4" s="1" t="n">
        <v>2</v>
      </c>
      <c r="F4" s="1" t="n">
        <v>2</v>
      </c>
      <c r="G4" s="1" t="s">
        <v>23</v>
      </c>
      <c r="H4" s="1" t="n">
        <f aca="false">H3/E4</f>
        <v>56</v>
      </c>
      <c r="I4" s="1" t="n">
        <f aca="false">I3/F4</f>
        <v>56</v>
      </c>
      <c r="J4" s="1" t="n">
        <f aca="false">J3</f>
        <v>64</v>
      </c>
      <c r="K4" s="3" t="n">
        <f aca="false">H4*I4*J4</f>
        <v>200704</v>
      </c>
      <c r="L4" s="0"/>
      <c r="M4" s="0"/>
      <c r="N4" s="4"/>
    </row>
    <row r="5" customFormat="false" ht="12.8" hidden="false" customHeight="false" outlineLevel="0" collapsed="false">
      <c r="A5" s="1" t="n">
        <v>3</v>
      </c>
      <c r="B5" s="1" t="s">
        <v>50</v>
      </c>
      <c r="C5" s="1" t="n">
        <v>3</v>
      </c>
      <c r="D5" s="1" t="n">
        <v>3</v>
      </c>
      <c r="E5" s="1" t="n">
        <v>1</v>
      </c>
      <c r="F5" s="1" t="n">
        <v>1</v>
      </c>
      <c r="G5" s="1" t="s">
        <v>23</v>
      </c>
      <c r="H5" s="1" t="n">
        <f aca="false">H4/E5</f>
        <v>56</v>
      </c>
      <c r="I5" s="1" t="n">
        <f aca="false">I4/F5</f>
        <v>56</v>
      </c>
      <c r="J5" s="1" t="n">
        <f aca="false">J4</f>
        <v>64</v>
      </c>
      <c r="K5" s="3" t="n">
        <f aca="false">H5*I5*J5</f>
        <v>200704</v>
      </c>
      <c r="L5" s="3" t="n">
        <f aca="false">C5*D5*J4*J5</f>
        <v>36864</v>
      </c>
      <c r="M5" s="3" t="n">
        <f aca="false">L5*H5*I5</f>
        <v>115605504</v>
      </c>
      <c r="N5" s="4" t="n">
        <f aca="false">M5/M$55</f>
        <v>0.0317205926482042</v>
      </c>
    </row>
    <row r="6" customFormat="false" ht="12.8" hidden="false" customHeight="false" outlineLevel="0" collapsed="false">
      <c r="A6" s="1" t="n">
        <v>4</v>
      </c>
      <c r="B6" s="1" t="s">
        <v>51</v>
      </c>
      <c r="C6" s="1" t="n">
        <v>3</v>
      </c>
      <c r="D6" s="1" t="n">
        <v>3</v>
      </c>
      <c r="E6" s="1" t="n">
        <v>1</v>
      </c>
      <c r="F6" s="1" t="n">
        <v>1</v>
      </c>
      <c r="G6" s="1" t="s">
        <v>23</v>
      </c>
      <c r="H6" s="1" t="n">
        <f aca="false">H5/E6</f>
        <v>56</v>
      </c>
      <c r="I6" s="1" t="n">
        <f aca="false">I5/F6</f>
        <v>56</v>
      </c>
      <c r="J6" s="1" t="n">
        <f aca="false">J5</f>
        <v>64</v>
      </c>
      <c r="K6" s="3" t="n">
        <f aca="false">H6*I6*J6</f>
        <v>200704</v>
      </c>
      <c r="L6" s="3" t="n">
        <f aca="false">C6*D6*J5*J6</f>
        <v>36864</v>
      </c>
      <c r="M6" s="3" t="n">
        <f aca="false">L6*H6*I6</f>
        <v>115605504</v>
      </c>
      <c r="N6" s="4" t="n">
        <f aca="false">M6/M$55</f>
        <v>0.0317205926482042</v>
      </c>
    </row>
    <row r="7" customFormat="false" ht="12.8" hidden="false" customHeight="false" outlineLevel="0" collapsed="false">
      <c r="A7" s="1" t="n">
        <v>5</v>
      </c>
      <c r="B7" s="1" t="s">
        <v>52</v>
      </c>
      <c r="C7" s="0"/>
      <c r="D7" s="0"/>
      <c r="E7" s="1" t="n">
        <v>1</v>
      </c>
      <c r="F7" s="1" t="n">
        <v>1</v>
      </c>
      <c r="G7" s="1" t="s">
        <v>23</v>
      </c>
      <c r="H7" s="1" t="n">
        <f aca="false">H6/E7</f>
        <v>56</v>
      </c>
      <c r="I7" s="1" t="n">
        <f aca="false">I6/F7</f>
        <v>56</v>
      </c>
      <c r="J7" s="1" t="n">
        <f aca="false">J6</f>
        <v>64</v>
      </c>
      <c r="K7" s="3" t="n">
        <f aca="false">H7*I7*J7</f>
        <v>200704</v>
      </c>
      <c r="L7" s="3"/>
      <c r="M7" s="3"/>
      <c r="N7" s="4"/>
    </row>
    <row r="8" customFormat="false" ht="12.8" hidden="false" customHeight="false" outlineLevel="0" collapsed="false">
      <c r="A8" s="1" t="n">
        <v>6</v>
      </c>
      <c r="B8" s="1" t="s">
        <v>53</v>
      </c>
      <c r="C8" s="1" t="n">
        <v>3</v>
      </c>
      <c r="D8" s="1" t="n">
        <v>3</v>
      </c>
      <c r="E8" s="1" t="n">
        <v>1</v>
      </c>
      <c r="F8" s="1" t="n">
        <v>1</v>
      </c>
      <c r="G8" s="1" t="s">
        <v>23</v>
      </c>
      <c r="H8" s="1" t="n">
        <f aca="false">H7/E8</f>
        <v>56</v>
      </c>
      <c r="I8" s="1" t="n">
        <f aca="false">I7/F8</f>
        <v>56</v>
      </c>
      <c r="J8" s="1" t="n">
        <f aca="false">J7</f>
        <v>64</v>
      </c>
      <c r="K8" s="3" t="n">
        <f aca="false">H8*I8*J8</f>
        <v>200704</v>
      </c>
      <c r="L8" s="3" t="n">
        <f aca="false">C8*D8*J7*J8</f>
        <v>36864</v>
      </c>
      <c r="M8" s="3" t="n">
        <f aca="false">L8*H8*I8</f>
        <v>115605504</v>
      </c>
      <c r="N8" s="4" t="n">
        <f aca="false">M8/M$55</f>
        <v>0.0317205926482042</v>
      </c>
    </row>
    <row r="9" customFormat="false" ht="12.8" hidden="false" customHeight="false" outlineLevel="0" collapsed="false">
      <c r="A9" s="1" t="n">
        <v>7</v>
      </c>
      <c r="B9" s="1" t="s">
        <v>54</v>
      </c>
      <c r="C9" s="1" t="n">
        <v>3</v>
      </c>
      <c r="D9" s="1" t="n">
        <v>3</v>
      </c>
      <c r="E9" s="1" t="n">
        <v>1</v>
      </c>
      <c r="F9" s="1" t="n">
        <v>1</v>
      </c>
      <c r="G9" s="1" t="s">
        <v>23</v>
      </c>
      <c r="H9" s="1" t="n">
        <f aca="false">H8/E9</f>
        <v>56</v>
      </c>
      <c r="I9" s="1" t="n">
        <f aca="false">I8/F9</f>
        <v>56</v>
      </c>
      <c r="J9" s="1" t="n">
        <f aca="false">J8</f>
        <v>64</v>
      </c>
      <c r="K9" s="3" t="n">
        <f aca="false">H9*I9*J9</f>
        <v>200704</v>
      </c>
      <c r="L9" s="3" t="n">
        <f aca="false">C9*D9*J8*J9</f>
        <v>36864</v>
      </c>
      <c r="M9" s="3" t="n">
        <f aca="false">L9*H9*I9</f>
        <v>115605504</v>
      </c>
      <c r="N9" s="4" t="n">
        <f aca="false">M9/M$55</f>
        <v>0.0317205926482042</v>
      </c>
    </row>
    <row r="10" customFormat="false" ht="12.8" hidden="false" customHeight="false" outlineLevel="0" collapsed="false">
      <c r="A10" s="1" t="n">
        <v>8</v>
      </c>
      <c r="B10" s="1" t="s">
        <v>55</v>
      </c>
      <c r="C10" s="0"/>
      <c r="D10" s="0"/>
      <c r="E10" s="1" t="n">
        <v>1</v>
      </c>
      <c r="F10" s="1" t="n">
        <v>1</v>
      </c>
      <c r="G10" s="1" t="s">
        <v>23</v>
      </c>
      <c r="H10" s="1" t="n">
        <f aca="false">H9/E10</f>
        <v>56</v>
      </c>
      <c r="I10" s="1" t="n">
        <f aca="false">I9/F10</f>
        <v>56</v>
      </c>
      <c r="J10" s="1" t="n">
        <f aca="false">J9</f>
        <v>64</v>
      </c>
      <c r="K10" s="3" t="n">
        <f aca="false">H10*I10*J10</f>
        <v>200704</v>
      </c>
      <c r="L10" s="3"/>
      <c r="M10" s="3"/>
      <c r="N10" s="4"/>
    </row>
    <row r="11" customFormat="false" ht="12.8" hidden="false" customHeight="false" outlineLevel="0" collapsed="false">
      <c r="A11" s="1" t="n">
        <v>9</v>
      </c>
      <c r="B11" s="1" t="s">
        <v>56</v>
      </c>
      <c r="C11" s="1" t="n">
        <v>3</v>
      </c>
      <c r="D11" s="1" t="n">
        <v>3</v>
      </c>
      <c r="E11" s="1" t="n">
        <v>1</v>
      </c>
      <c r="F11" s="1" t="n">
        <v>1</v>
      </c>
      <c r="G11" s="1" t="s">
        <v>23</v>
      </c>
      <c r="H11" s="1" t="n">
        <f aca="false">H10/E11</f>
        <v>56</v>
      </c>
      <c r="I11" s="1" t="n">
        <f aca="false">I10/F11</f>
        <v>56</v>
      </c>
      <c r="J11" s="1" t="n">
        <f aca="false">J10</f>
        <v>64</v>
      </c>
      <c r="K11" s="3" t="n">
        <f aca="false">H11*I11*J11</f>
        <v>200704</v>
      </c>
      <c r="L11" s="3" t="n">
        <f aca="false">C11*D11*J10*J11</f>
        <v>36864</v>
      </c>
      <c r="M11" s="3" t="n">
        <f aca="false">L11*H11*I11</f>
        <v>115605504</v>
      </c>
      <c r="N11" s="4" t="n">
        <f aca="false">M11/M$55</f>
        <v>0.0317205926482042</v>
      </c>
    </row>
    <row r="12" customFormat="false" ht="12.8" hidden="false" customHeight="false" outlineLevel="0" collapsed="false">
      <c r="A12" s="1" t="n">
        <v>10</v>
      </c>
      <c r="B12" s="1" t="s">
        <v>57</v>
      </c>
      <c r="C12" s="1" t="n">
        <v>3</v>
      </c>
      <c r="D12" s="1" t="n">
        <v>3</v>
      </c>
      <c r="E12" s="1" t="n">
        <v>1</v>
      </c>
      <c r="F12" s="1" t="n">
        <v>1</v>
      </c>
      <c r="G12" s="1" t="s">
        <v>23</v>
      </c>
      <c r="H12" s="1" t="n">
        <f aca="false">H11/E12</f>
        <v>56</v>
      </c>
      <c r="I12" s="1" t="n">
        <f aca="false">I11/F12</f>
        <v>56</v>
      </c>
      <c r="J12" s="1" t="n">
        <f aca="false">J11</f>
        <v>64</v>
      </c>
      <c r="K12" s="3" t="n">
        <f aca="false">H12*I12*J12</f>
        <v>200704</v>
      </c>
      <c r="L12" s="3" t="n">
        <f aca="false">C12*D12*J11*J12</f>
        <v>36864</v>
      </c>
      <c r="M12" s="3" t="n">
        <f aca="false">L12*H12*I12</f>
        <v>115605504</v>
      </c>
      <c r="N12" s="4" t="n">
        <f aca="false">M12/M$55</f>
        <v>0.0317205926482042</v>
      </c>
    </row>
    <row r="13" customFormat="false" ht="12.8" hidden="false" customHeight="false" outlineLevel="0" collapsed="false">
      <c r="A13" s="1" t="n">
        <v>11</v>
      </c>
      <c r="B13" s="1" t="s">
        <v>58</v>
      </c>
      <c r="C13" s="0"/>
      <c r="D13" s="0"/>
      <c r="E13" s="1" t="n">
        <v>1</v>
      </c>
      <c r="F13" s="1" t="n">
        <v>1</v>
      </c>
      <c r="G13" s="1" t="s">
        <v>23</v>
      </c>
      <c r="H13" s="1" t="n">
        <f aca="false">H12/E13</f>
        <v>56</v>
      </c>
      <c r="I13" s="1" t="n">
        <f aca="false">I12/F13</f>
        <v>56</v>
      </c>
      <c r="J13" s="1" t="n">
        <f aca="false">J12</f>
        <v>64</v>
      </c>
      <c r="K13" s="3" t="n">
        <f aca="false">H13*I13*J13</f>
        <v>200704</v>
      </c>
      <c r="L13" s="3"/>
      <c r="M13" s="3"/>
      <c r="N13" s="4"/>
    </row>
    <row r="14" customFormat="false" ht="12.8" hidden="false" customHeight="false" outlineLevel="0" collapsed="false">
      <c r="A14" s="1" t="n">
        <v>12</v>
      </c>
      <c r="B14" s="1" t="s">
        <v>59</v>
      </c>
      <c r="C14" s="1" t="n">
        <v>3</v>
      </c>
      <c r="D14" s="1" t="n">
        <v>3</v>
      </c>
      <c r="E14" s="1" t="n">
        <v>2</v>
      </c>
      <c r="F14" s="1" t="n">
        <v>2</v>
      </c>
      <c r="G14" s="1" t="s">
        <v>23</v>
      </c>
      <c r="H14" s="1" t="n">
        <f aca="false">H13/E14</f>
        <v>28</v>
      </c>
      <c r="I14" s="1" t="n">
        <f aca="false">I13/F14</f>
        <v>28</v>
      </c>
      <c r="J14" s="1" t="n">
        <v>128</v>
      </c>
      <c r="K14" s="3" t="n">
        <f aca="false">H14*I14*J14</f>
        <v>100352</v>
      </c>
      <c r="L14" s="3" t="n">
        <f aca="false">C14*D14*J13*J14</f>
        <v>73728</v>
      </c>
      <c r="M14" s="3" t="n">
        <f aca="false">L14*H14*I14</f>
        <v>57802752</v>
      </c>
      <c r="N14" s="4" t="n">
        <f aca="false">M14/M$55</f>
        <v>0.0158602963241021</v>
      </c>
    </row>
    <row r="15" customFormat="false" ht="12.8" hidden="false" customHeight="false" outlineLevel="0" collapsed="false">
      <c r="A15" s="1" t="n">
        <v>13</v>
      </c>
      <c r="B15" s="1" t="s">
        <v>60</v>
      </c>
      <c r="C15" s="1" t="n">
        <v>3</v>
      </c>
      <c r="D15" s="1" t="n">
        <v>3</v>
      </c>
      <c r="E15" s="1" t="n">
        <v>1</v>
      </c>
      <c r="F15" s="1" t="n">
        <v>1</v>
      </c>
      <c r="G15" s="1" t="s">
        <v>23</v>
      </c>
      <c r="H15" s="1" t="n">
        <f aca="false">H14/E15</f>
        <v>28</v>
      </c>
      <c r="I15" s="1" t="n">
        <f aca="false">I14/F15</f>
        <v>28</v>
      </c>
      <c r="J15" s="1" t="n">
        <f aca="false">J14</f>
        <v>128</v>
      </c>
      <c r="K15" s="3" t="n">
        <f aca="false">H15*I15*J15</f>
        <v>100352</v>
      </c>
      <c r="L15" s="3" t="n">
        <f aca="false">C15*D15*J14*J15</f>
        <v>147456</v>
      </c>
      <c r="M15" s="3" t="n">
        <f aca="false">L15*H15*I15</f>
        <v>115605504</v>
      </c>
      <c r="N15" s="4" t="n">
        <f aca="false">M15/M$55</f>
        <v>0.0317205926482042</v>
      </c>
    </row>
    <row r="16" customFormat="false" ht="12.8" hidden="false" customHeight="false" outlineLevel="0" collapsed="false">
      <c r="A16" s="1" t="n">
        <v>14</v>
      </c>
      <c r="B16" s="1" t="s">
        <v>61</v>
      </c>
      <c r="C16" s="0"/>
      <c r="D16" s="0"/>
      <c r="E16" s="1" t="n">
        <v>2</v>
      </c>
      <c r="F16" s="1" t="n">
        <v>2</v>
      </c>
      <c r="G16" s="1" t="s">
        <v>23</v>
      </c>
      <c r="H16" s="1" t="n">
        <f aca="false">H13/E16</f>
        <v>28</v>
      </c>
      <c r="I16" s="1" t="n">
        <f aca="false">I13/F16</f>
        <v>28</v>
      </c>
      <c r="J16" s="1" t="n">
        <f aca="false">J15</f>
        <v>128</v>
      </c>
      <c r="K16" s="3" t="n">
        <f aca="false">H16*I16*J16</f>
        <v>100352</v>
      </c>
      <c r="L16" s="3"/>
      <c r="M16" s="3"/>
      <c r="N16" s="4"/>
    </row>
    <row r="17" customFormat="false" ht="12.8" hidden="false" customHeight="false" outlineLevel="0" collapsed="false">
      <c r="A17" s="1" t="n">
        <v>15</v>
      </c>
      <c r="B17" s="1" t="s">
        <v>62</v>
      </c>
      <c r="C17" s="1" t="n">
        <v>3</v>
      </c>
      <c r="D17" s="1" t="n">
        <v>3</v>
      </c>
      <c r="E17" s="1" t="n">
        <v>1</v>
      </c>
      <c r="F17" s="1" t="n">
        <v>1</v>
      </c>
      <c r="G17" s="1" t="s">
        <v>23</v>
      </c>
      <c r="H17" s="1" t="n">
        <f aca="false">H16/E17</f>
        <v>28</v>
      </c>
      <c r="I17" s="1" t="n">
        <f aca="false">I16/F17</f>
        <v>28</v>
      </c>
      <c r="J17" s="1" t="n">
        <f aca="false">J16</f>
        <v>128</v>
      </c>
      <c r="K17" s="3" t="n">
        <f aca="false">H17*I17*J17</f>
        <v>100352</v>
      </c>
      <c r="L17" s="3" t="n">
        <f aca="false">C17*D17*J16*J17</f>
        <v>147456</v>
      </c>
      <c r="M17" s="3" t="n">
        <f aca="false">L17*H17*I17</f>
        <v>115605504</v>
      </c>
      <c r="N17" s="4" t="n">
        <f aca="false">M17/M$55</f>
        <v>0.0317205926482042</v>
      </c>
    </row>
    <row r="18" customFormat="false" ht="12.8" hidden="false" customHeight="false" outlineLevel="0" collapsed="false">
      <c r="A18" s="1" t="n">
        <v>16</v>
      </c>
      <c r="B18" s="1" t="s">
        <v>63</v>
      </c>
      <c r="C18" s="1" t="n">
        <v>3</v>
      </c>
      <c r="D18" s="1" t="n">
        <v>3</v>
      </c>
      <c r="E18" s="1" t="n">
        <v>1</v>
      </c>
      <c r="F18" s="1" t="n">
        <v>1</v>
      </c>
      <c r="G18" s="1" t="s">
        <v>23</v>
      </c>
      <c r="H18" s="1" t="n">
        <f aca="false">H17/E18</f>
        <v>28</v>
      </c>
      <c r="I18" s="1" t="n">
        <f aca="false">I17/F18</f>
        <v>28</v>
      </c>
      <c r="J18" s="1" t="n">
        <f aca="false">J17</f>
        <v>128</v>
      </c>
      <c r="K18" s="3" t="n">
        <f aca="false">H18*I18*J18</f>
        <v>100352</v>
      </c>
      <c r="L18" s="3" t="n">
        <f aca="false">C18*D18*J17*J18</f>
        <v>147456</v>
      </c>
      <c r="M18" s="3" t="n">
        <f aca="false">L18*H18*I18</f>
        <v>115605504</v>
      </c>
      <c r="N18" s="4" t="n">
        <f aca="false">M18/M$55</f>
        <v>0.0317205926482042</v>
      </c>
    </row>
    <row r="19" customFormat="false" ht="12.8" hidden="false" customHeight="false" outlineLevel="0" collapsed="false">
      <c r="A19" s="1" t="n">
        <v>17</v>
      </c>
      <c r="B19" s="1" t="s">
        <v>64</v>
      </c>
      <c r="C19" s="0"/>
      <c r="D19" s="0"/>
      <c r="E19" s="1" t="n">
        <v>1</v>
      </c>
      <c r="F19" s="1" t="n">
        <v>1</v>
      </c>
      <c r="G19" s="1" t="s">
        <v>23</v>
      </c>
      <c r="H19" s="1" t="n">
        <f aca="false">H18/E19</f>
        <v>28</v>
      </c>
      <c r="I19" s="1" t="n">
        <f aca="false">I18/F19</f>
        <v>28</v>
      </c>
      <c r="J19" s="1" t="n">
        <f aca="false">J18</f>
        <v>128</v>
      </c>
      <c r="K19" s="3" t="n">
        <f aca="false">H19*I19*J19</f>
        <v>100352</v>
      </c>
      <c r="L19" s="3"/>
      <c r="M19" s="3"/>
      <c r="N19" s="4"/>
    </row>
    <row r="20" customFormat="false" ht="12.8" hidden="false" customHeight="false" outlineLevel="0" collapsed="false">
      <c r="A20" s="1" t="n">
        <v>18</v>
      </c>
      <c r="B20" s="1" t="s">
        <v>65</v>
      </c>
      <c r="C20" s="1" t="n">
        <v>3</v>
      </c>
      <c r="D20" s="1" t="n">
        <v>3</v>
      </c>
      <c r="E20" s="1" t="n">
        <v>1</v>
      </c>
      <c r="F20" s="1" t="n">
        <v>1</v>
      </c>
      <c r="G20" s="1" t="s">
        <v>23</v>
      </c>
      <c r="H20" s="1" t="n">
        <f aca="false">H19/E20</f>
        <v>28</v>
      </c>
      <c r="I20" s="1" t="n">
        <f aca="false">I19/F20</f>
        <v>28</v>
      </c>
      <c r="J20" s="1" t="n">
        <f aca="false">J19</f>
        <v>128</v>
      </c>
      <c r="K20" s="3" t="n">
        <f aca="false">H20*I20*J20</f>
        <v>100352</v>
      </c>
      <c r="L20" s="3" t="n">
        <f aca="false">C20*D20*J19*J20</f>
        <v>147456</v>
      </c>
      <c r="M20" s="3" t="n">
        <f aca="false">L20*H20*I20</f>
        <v>115605504</v>
      </c>
      <c r="N20" s="4" t="n">
        <f aca="false">M20/M$55</f>
        <v>0.0317205926482042</v>
      </c>
    </row>
    <row r="21" customFormat="false" ht="12.8" hidden="false" customHeight="false" outlineLevel="0" collapsed="false">
      <c r="A21" s="1" t="n">
        <v>19</v>
      </c>
      <c r="B21" s="1" t="s">
        <v>66</v>
      </c>
      <c r="C21" s="1" t="n">
        <v>3</v>
      </c>
      <c r="D21" s="1" t="n">
        <v>3</v>
      </c>
      <c r="E21" s="1" t="n">
        <v>1</v>
      </c>
      <c r="F21" s="1" t="n">
        <v>1</v>
      </c>
      <c r="G21" s="1" t="s">
        <v>23</v>
      </c>
      <c r="H21" s="1" t="n">
        <f aca="false">H20/E21</f>
        <v>28</v>
      </c>
      <c r="I21" s="1" t="n">
        <f aca="false">I20/F21</f>
        <v>28</v>
      </c>
      <c r="J21" s="1" t="n">
        <f aca="false">J20</f>
        <v>128</v>
      </c>
      <c r="K21" s="3" t="n">
        <f aca="false">H21*I21*J21</f>
        <v>100352</v>
      </c>
      <c r="L21" s="3" t="n">
        <f aca="false">C21*D21*J20*J21</f>
        <v>147456</v>
      </c>
      <c r="M21" s="3" t="n">
        <f aca="false">L21*H21*I21</f>
        <v>115605504</v>
      </c>
      <c r="N21" s="4" t="n">
        <f aca="false">M21/M$55</f>
        <v>0.0317205926482042</v>
      </c>
    </row>
    <row r="22" customFormat="false" ht="12.8" hidden="false" customHeight="false" outlineLevel="0" collapsed="false">
      <c r="A22" s="1" t="n">
        <v>20</v>
      </c>
      <c r="B22" s="1" t="s">
        <v>67</v>
      </c>
      <c r="C22" s="0"/>
      <c r="D22" s="0"/>
      <c r="E22" s="1" t="n">
        <v>1</v>
      </c>
      <c r="F22" s="1" t="n">
        <v>1</v>
      </c>
      <c r="G22" s="1" t="s">
        <v>23</v>
      </c>
      <c r="H22" s="1" t="n">
        <f aca="false">H21/E22</f>
        <v>28</v>
      </c>
      <c r="I22" s="1" t="n">
        <f aca="false">I21/F22</f>
        <v>28</v>
      </c>
      <c r="J22" s="1" t="n">
        <f aca="false">J21</f>
        <v>128</v>
      </c>
      <c r="K22" s="3" t="n">
        <f aca="false">H22*I22*J22</f>
        <v>100352</v>
      </c>
      <c r="L22" s="3"/>
      <c r="M22" s="3"/>
      <c r="N22" s="4"/>
    </row>
    <row r="23" customFormat="false" ht="12.8" hidden="false" customHeight="false" outlineLevel="0" collapsed="false">
      <c r="A23" s="1" t="n">
        <v>21</v>
      </c>
      <c r="B23" s="1" t="s">
        <v>68</v>
      </c>
      <c r="C23" s="1" t="n">
        <v>3</v>
      </c>
      <c r="D23" s="1" t="n">
        <v>3</v>
      </c>
      <c r="E23" s="1" t="n">
        <v>1</v>
      </c>
      <c r="F23" s="1" t="n">
        <v>1</v>
      </c>
      <c r="G23" s="1" t="s">
        <v>23</v>
      </c>
      <c r="H23" s="1" t="n">
        <f aca="false">H22/E23</f>
        <v>28</v>
      </c>
      <c r="I23" s="1" t="n">
        <f aca="false">I22/F23</f>
        <v>28</v>
      </c>
      <c r="J23" s="1" t="n">
        <f aca="false">J22</f>
        <v>128</v>
      </c>
      <c r="K23" s="3" t="n">
        <f aca="false">H23*I23*J23</f>
        <v>100352</v>
      </c>
      <c r="L23" s="3" t="n">
        <f aca="false">C23*D23*J22*J23</f>
        <v>147456</v>
      </c>
      <c r="M23" s="3" t="n">
        <f aca="false">L23*H23*I23</f>
        <v>115605504</v>
      </c>
      <c r="N23" s="4" t="n">
        <f aca="false">M23/M$55</f>
        <v>0.0317205926482042</v>
      </c>
    </row>
    <row r="24" customFormat="false" ht="12.8" hidden="false" customHeight="false" outlineLevel="0" collapsed="false">
      <c r="A24" s="1" t="n">
        <v>22</v>
      </c>
      <c r="B24" s="1" t="s">
        <v>69</v>
      </c>
      <c r="C24" s="1" t="n">
        <v>3</v>
      </c>
      <c r="D24" s="1" t="n">
        <v>3</v>
      </c>
      <c r="E24" s="1" t="n">
        <v>1</v>
      </c>
      <c r="F24" s="1" t="n">
        <v>1</v>
      </c>
      <c r="G24" s="1" t="s">
        <v>23</v>
      </c>
      <c r="H24" s="1" t="n">
        <f aca="false">H23/E24</f>
        <v>28</v>
      </c>
      <c r="I24" s="1" t="n">
        <f aca="false">I23/F24</f>
        <v>28</v>
      </c>
      <c r="J24" s="1" t="n">
        <f aca="false">J23</f>
        <v>128</v>
      </c>
      <c r="K24" s="3" t="n">
        <f aca="false">H24*I24*J24</f>
        <v>100352</v>
      </c>
      <c r="L24" s="3" t="n">
        <f aca="false">C24*D24*J23*J24</f>
        <v>147456</v>
      </c>
      <c r="M24" s="3" t="n">
        <f aca="false">L24*H24*I24</f>
        <v>115605504</v>
      </c>
      <c r="N24" s="4" t="n">
        <f aca="false">M24/M$55</f>
        <v>0.0317205926482042</v>
      </c>
    </row>
    <row r="25" customFormat="false" ht="12.8" hidden="false" customHeight="false" outlineLevel="0" collapsed="false">
      <c r="A25" s="1" t="n">
        <v>23</v>
      </c>
      <c r="B25" s="1" t="s">
        <v>70</v>
      </c>
      <c r="C25" s="0"/>
      <c r="D25" s="0"/>
      <c r="E25" s="1" t="n">
        <v>1</v>
      </c>
      <c r="F25" s="1" t="n">
        <v>1</v>
      </c>
      <c r="G25" s="1" t="s">
        <v>23</v>
      </c>
      <c r="H25" s="1" t="n">
        <f aca="false">H24/E25</f>
        <v>28</v>
      </c>
      <c r="I25" s="1" t="n">
        <f aca="false">I24/F25</f>
        <v>28</v>
      </c>
      <c r="J25" s="1" t="n">
        <f aca="false">J24</f>
        <v>128</v>
      </c>
      <c r="K25" s="3" t="n">
        <f aca="false">H25*I25*J25</f>
        <v>100352</v>
      </c>
      <c r="L25" s="3"/>
      <c r="M25" s="3"/>
      <c r="N25" s="4"/>
    </row>
    <row r="26" customFormat="false" ht="12.8" hidden="false" customHeight="false" outlineLevel="0" collapsed="false">
      <c r="A26" s="1" t="n">
        <v>24</v>
      </c>
      <c r="B26" s="1" t="s">
        <v>71</v>
      </c>
      <c r="C26" s="1" t="n">
        <v>3</v>
      </c>
      <c r="D26" s="1" t="n">
        <v>3</v>
      </c>
      <c r="E26" s="1" t="n">
        <v>2</v>
      </c>
      <c r="F26" s="1" t="n">
        <v>2</v>
      </c>
      <c r="G26" s="1" t="s">
        <v>23</v>
      </c>
      <c r="H26" s="1" t="n">
        <f aca="false">H25/E26</f>
        <v>14</v>
      </c>
      <c r="I26" s="1" t="n">
        <f aca="false">I25/F26</f>
        <v>14</v>
      </c>
      <c r="J26" s="1" t="n">
        <v>256</v>
      </c>
      <c r="K26" s="3" t="n">
        <f aca="false">H26*I26*J26</f>
        <v>50176</v>
      </c>
      <c r="L26" s="3" t="n">
        <f aca="false">C26*D26*J25*J26</f>
        <v>294912</v>
      </c>
      <c r="M26" s="3" t="n">
        <f aca="false">L26*H26*I26</f>
        <v>57802752</v>
      </c>
      <c r="N26" s="4" t="n">
        <f aca="false">M26/M$55</f>
        <v>0.0158602963241021</v>
      </c>
    </row>
    <row r="27" customFormat="false" ht="12.8" hidden="false" customHeight="false" outlineLevel="0" collapsed="false">
      <c r="A27" s="1" t="n">
        <v>25</v>
      </c>
      <c r="B27" s="1" t="s">
        <v>72</v>
      </c>
      <c r="C27" s="1" t="n">
        <v>3</v>
      </c>
      <c r="D27" s="1" t="n">
        <v>3</v>
      </c>
      <c r="E27" s="1" t="n">
        <v>1</v>
      </c>
      <c r="F27" s="1" t="n">
        <v>1</v>
      </c>
      <c r="G27" s="1" t="s">
        <v>23</v>
      </c>
      <c r="H27" s="1" t="n">
        <f aca="false">H26/E27</f>
        <v>14</v>
      </c>
      <c r="I27" s="1" t="n">
        <f aca="false">I26/F27</f>
        <v>14</v>
      </c>
      <c r="J27" s="1" t="n">
        <f aca="false">J26</f>
        <v>256</v>
      </c>
      <c r="K27" s="3" t="n">
        <f aca="false">H27*I27*J27</f>
        <v>50176</v>
      </c>
      <c r="L27" s="3" t="n">
        <f aca="false">C27*D27*J26*J27</f>
        <v>589824</v>
      </c>
      <c r="M27" s="3" t="n">
        <f aca="false">L27*H27*I27</f>
        <v>115605504</v>
      </c>
      <c r="N27" s="4" t="n">
        <f aca="false">M27/M$55</f>
        <v>0.0317205926482042</v>
      </c>
    </row>
    <row r="28" customFormat="false" ht="12.8" hidden="false" customHeight="false" outlineLevel="0" collapsed="false">
      <c r="A28" s="1" t="n">
        <v>26</v>
      </c>
      <c r="B28" s="1" t="s">
        <v>73</v>
      </c>
      <c r="C28" s="0"/>
      <c r="D28" s="0"/>
      <c r="E28" s="1" t="n">
        <v>2</v>
      </c>
      <c r="F28" s="1" t="n">
        <v>2</v>
      </c>
      <c r="G28" s="1" t="s">
        <v>23</v>
      </c>
      <c r="H28" s="1" t="n">
        <f aca="false">H25/E28</f>
        <v>14</v>
      </c>
      <c r="I28" s="1" t="n">
        <f aca="false">I25/F28</f>
        <v>14</v>
      </c>
      <c r="J28" s="1" t="n">
        <f aca="false">J27</f>
        <v>256</v>
      </c>
      <c r="K28" s="3" t="n">
        <f aca="false">H28*I28*J28</f>
        <v>50176</v>
      </c>
      <c r="L28" s="3"/>
      <c r="M28" s="3"/>
      <c r="N28" s="4"/>
    </row>
    <row r="29" customFormat="false" ht="12.8" hidden="false" customHeight="false" outlineLevel="0" collapsed="false">
      <c r="A29" s="1" t="n">
        <v>27</v>
      </c>
      <c r="B29" s="1" t="s">
        <v>74</v>
      </c>
      <c r="C29" s="1" t="n">
        <v>3</v>
      </c>
      <c r="D29" s="1" t="n">
        <v>3</v>
      </c>
      <c r="E29" s="1" t="n">
        <v>1</v>
      </c>
      <c r="F29" s="1" t="n">
        <v>1</v>
      </c>
      <c r="G29" s="1" t="s">
        <v>23</v>
      </c>
      <c r="H29" s="1" t="n">
        <f aca="false">H28/E29</f>
        <v>14</v>
      </c>
      <c r="I29" s="1" t="n">
        <f aca="false">I28/F29</f>
        <v>14</v>
      </c>
      <c r="J29" s="1" t="n">
        <f aca="false">J28</f>
        <v>256</v>
      </c>
      <c r="K29" s="3" t="n">
        <f aca="false">H29*I29*J29</f>
        <v>50176</v>
      </c>
      <c r="L29" s="3" t="n">
        <f aca="false">C29*D29*J28*J29</f>
        <v>589824</v>
      </c>
      <c r="M29" s="3" t="n">
        <f aca="false">L29*H29*I29</f>
        <v>115605504</v>
      </c>
      <c r="N29" s="4" t="n">
        <f aca="false">M29/M$55</f>
        <v>0.0317205926482042</v>
      </c>
    </row>
    <row r="30" customFormat="false" ht="12.8" hidden="false" customHeight="false" outlineLevel="0" collapsed="false">
      <c r="A30" s="1" t="n">
        <v>28</v>
      </c>
      <c r="B30" s="1" t="s">
        <v>75</v>
      </c>
      <c r="C30" s="1" t="n">
        <v>3</v>
      </c>
      <c r="D30" s="1" t="n">
        <v>3</v>
      </c>
      <c r="E30" s="1" t="n">
        <v>1</v>
      </c>
      <c r="F30" s="1" t="n">
        <v>1</v>
      </c>
      <c r="G30" s="1" t="s">
        <v>23</v>
      </c>
      <c r="H30" s="1" t="n">
        <f aca="false">H29/E30</f>
        <v>14</v>
      </c>
      <c r="I30" s="1" t="n">
        <f aca="false">I29/F30</f>
        <v>14</v>
      </c>
      <c r="J30" s="1" t="n">
        <f aca="false">J29</f>
        <v>256</v>
      </c>
      <c r="K30" s="3" t="n">
        <f aca="false">H30*I30*J30</f>
        <v>50176</v>
      </c>
      <c r="L30" s="3" t="n">
        <f aca="false">C30*D30*J29*J30</f>
        <v>589824</v>
      </c>
      <c r="M30" s="3" t="n">
        <f aca="false">L30*H30*I30</f>
        <v>115605504</v>
      </c>
      <c r="N30" s="4" t="n">
        <f aca="false">M30/M$55</f>
        <v>0.0317205926482042</v>
      </c>
    </row>
    <row r="31" customFormat="false" ht="12.8" hidden="false" customHeight="false" outlineLevel="0" collapsed="false">
      <c r="A31" s="1" t="n">
        <v>29</v>
      </c>
      <c r="B31" s="1" t="s">
        <v>76</v>
      </c>
      <c r="C31" s="0"/>
      <c r="D31" s="0"/>
      <c r="E31" s="1" t="n">
        <v>1</v>
      </c>
      <c r="F31" s="1" t="n">
        <v>1</v>
      </c>
      <c r="G31" s="1" t="s">
        <v>23</v>
      </c>
      <c r="H31" s="1" t="n">
        <f aca="false">H30/E31</f>
        <v>14</v>
      </c>
      <c r="I31" s="1" t="n">
        <f aca="false">I30/F31</f>
        <v>14</v>
      </c>
      <c r="J31" s="1" t="n">
        <f aca="false">J30</f>
        <v>256</v>
      </c>
      <c r="K31" s="3" t="n">
        <f aca="false">H31*I31*J31</f>
        <v>50176</v>
      </c>
      <c r="L31" s="3"/>
      <c r="M31" s="3"/>
      <c r="N31" s="4"/>
    </row>
    <row r="32" customFormat="false" ht="12.8" hidden="false" customHeight="false" outlineLevel="0" collapsed="false">
      <c r="A32" s="1" t="n">
        <v>30</v>
      </c>
      <c r="B32" s="1" t="s">
        <v>77</v>
      </c>
      <c r="C32" s="1" t="n">
        <v>3</v>
      </c>
      <c r="D32" s="1" t="n">
        <v>3</v>
      </c>
      <c r="E32" s="1" t="n">
        <v>1</v>
      </c>
      <c r="F32" s="1" t="n">
        <v>1</v>
      </c>
      <c r="G32" s="1" t="s">
        <v>23</v>
      </c>
      <c r="H32" s="1" t="n">
        <f aca="false">H31/E32</f>
        <v>14</v>
      </c>
      <c r="I32" s="1" t="n">
        <f aca="false">I31/F32</f>
        <v>14</v>
      </c>
      <c r="J32" s="1" t="n">
        <f aca="false">J31</f>
        <v>256</v>
      </c>
      <c r="K32" s="3" t="n">
        <f aca="false">H32*I32*J32</f>
        <v>50176</v>
      </c>
      <c r="L32" s="3" t="n">
        <f aca="false">C32*D32*J31*J32</f>
        <v>589824</v>
      </c>
      <c r="M32" s="3" t="n">
        <f aca="false">L32*H32*I32</f>
        <v>115605504</v>
      </c>
      <c r="N32" s="4" t="n">
        <f aca="false">M32/M$55</f>
        <v>0.0317205926482042</v>
      </c>
    </row>
    <row r="33" customFormat="false" ht="12.8" hidden="false" customHeight="false" outlineLevel="0" collapsed="false">
      <c r="A33" s="1" t="n">
        <v>31</v>
      </c>
      <c r="B33" s="1" t="s">
        <v>78</v>
      </c>
      <c r="C33" s="1" t="n">
        <v>3</v>
      </c>
      <c r="D33" s="1" t="n">
        <v>3</v>
      </c>
      <c r="E33" s="1" t="n">
        <v>1</v>
      </c>
      <c r="F33" s="1" t="n">
        <v>1</v>
      </c>
      <c r="G33" s="1" t="s">
        <v>23</v>
      </c>
      <c r="H33" s="1" t="n">
        <f aca="false">H32/E33</f>
        <v>14</v>
      </c>
      <c r="I33" s="1" t="n">
        <f aca="false">I32/F33</f>
        <v>14</v>
      </c>
      <c r="J33" s="1" t="n">
        <f aca="false">J32</f>
        <v>256</v>
      </c>
      <c r="K33" s="3" t="n">
        <f aca="false">H33*I33*J33</f>
        <v>50176</v>
      </c>
      <c r="L33" s="3" t="n">
        <f aca="false">C33*D33*J32*J33</f>
        <v>589824</v>
      </c>
      <c r="M33" s="3" t="n">
        <f aca="false">L33*H33*I33</f>
        <v>115605504</v>
      </c>
      <c r="N33" s="4" t="n">
        <f aca="false">M33/M$55</f>
        <v>0.0317205926482042</v>
      </c>
    </row>
    <row r="34" customFormat="false" ht="12.8" hidden="false" customHeight="false" outlineLevel="0" collapsed="false">
      <c r="A34" s="1" t="n">
        <v>32</v>
      </c>
      <c r="B34" s="1" t="s">
        <v>79</v>
      </c>
      <c r="C34" s="0"/>
      <c r="D34" s="0"/>
      <c r="E34" s="1" t="n">
        <v>1</v>
      </c>
      <c r="F34" s="1" t="n">
        <v>1</v>
      </c>
      <c r="G34" s="1" t="s">
        <v>23</v>
      </c>
      <c r="H34" s="1" t="n">
        <f aca="false">H33/E34</f>
        <v>14</v>
      </c>
      <c r="I34" s="1" t="n">
        <f aca="false">I33/F34</f>
        <v>14</v>
      </c>
      <c r="J34" s="1" t="n">
        <f aca="false">J33</f>
        <v>256</v>
      </c>
      <c r="K34" s="3" t="n">
        <f aca="false">H34*I34*J34</f>
        <v>50176</v>
      </c>
      <c r="L34" s="3"/>
      <c r="M34" s="3"/>
      <c r="N34" s="4"/>
    </row>
    <row r="35" customFormat="false" ht="12.8" hidden="false" customHeight="false" outlineLevel="0" collapsed="false">
      <c r="A35" s="1" t="n">
        <v>33</v>
      </c>
      <c r="B35" s="1" t="s">
        <v>80</v>
      </c>
      <c r="C35" s="1" t="n">
        <v>3</v>
      </c>
      <c r="D35" s="1" t="n">
        <v>3</v>
      </c>
      <c r="E35" s="1" t="n">
        <v>1</v>
      </c>
      <c r="F35" s="1" t="n">
        <v>1</v>
      </c>
      <c r="G35" s="1" t="s">
        <v>23</v>
      </c>
      <c r="H35" s="1" t="n">
        <f aca="false">H34/E35</f>
        <v>14</v>
      </c>
      <c r="I35" s="1" t="n">
        <f aca="false">I34/F35</f>
        <v>14</v>
      </c>
      <c r="J35" s="1" t="n">
        <f aca="false">J34</f>
        <v>256</v>
      </c>
      <c r="K35" s="3" t="n">
        <f aca="false">H35*I35*J35</f>
        <v>50176</v>
      </c>
      <c r="L35" s="3" t="n">
        <f aca="false">C35*D35*J34*J35</f>
        <v>589824</v>
      </c>
      <c r="M35" s="3" t="n">
        <f aca="false">L35*H35*I35</f>
        <v>115605504</v>
      </c>
      <c r="N35" s="4" t="n">
        <f aca="false">M35/M$55</f>
        <v>0.0317205926482042</v>
      </c>
    </row>
    <row r="36" customFormat="false" ht="12.8" hidden="false" customHeight="false" outlineLevel="0" collapsed="false">
      <c r="A36" s="1" t="n">
        <v>34</v>
      </c>
      <c r="B36" s="1" t="s">
        <v>81</v>
      </c>
      <c r="C36" s="1" t="n">
        <v>3</v>
      </c>
      <c r="D36" s="1" t="n">
        <v>3</v>
      </c>
      <c r="E36" s="1" t="n">
        <v>1</v>
      </c>
      <c r="F36" s="1" t="n">
        <v>1</v>
      </c>
      <c r="G36" s="1" t="s">
        <v>23</v>
      </c>
      <c r="H36" s="1" t="n">
        <f aca="false">H35/E36</f>
        <v>14</v>
      </c>
      <c r="I36" s="1" t="n">
        <f aca="false">I35/F36</f>
        <v>14</v>
      </c>
      <c r="J36" s="1" t="n">
        <f aca="false">J35</f>
        <v>256</v>
      </c>
      <c r="K36" s="3" t="n">
        <f aca="false">H36*I36*J36</f>
        <v>50176</v>
      </c>
      <c r="L36" s="3" t="n">
        <f aca="false">C36*D36*J35*J36</f>
        <v>589824</v>
      </c>
      <c r="M36" s="3" t="n">
        <f aca="false">L36*H36*I36</f>
        <v>115605504</v>
      </c>
      <c r="N36" s="4" t="n">
        <f aca="false">M36/M$55</f>
        <v>0.0317205926482042</v>
      </c>
    </row>
    <row r="37" customFormat="false" ht="12.8" hidden="false" customHeight="false" outlineLevel="0" collapsed="false">
      <c r="A37" s="1" t="n">
        <v>35</v>
      </c>
      <c r="B37" s="1" t="s">
        <v>82</v>
      </c>
      <c r="C37" s="0"/>
      <c r="D37" s="0"/>
      <c r="E37" s="1" t="n">
        <v>1</v>
      </c>
      <c r="F37" s="1" t="n">
        <v>1</v>
      </c>
      <c r="G37" s="1" t="s">
        <v>23</v>
      </c>
      <c r="H37" s="1" t="n">
        <f aca="false">H36/E37</f>
        <v>14</v>
      </c>
      <c r="I37" s="1" t="n">
        <f aca="false">I36/F37</f>
        <v>14</v>
      </c>
      <c r="J37" s="1" t="n">
        <f aca="false">J36</f>
        <v>256</v>
      </c>
      <c r="K37" s="3" t="n">
        <f aca="false">H37*I37*J37</f>
        <v>50176</v>
      </c>
      <c r="L37" s="3"/>
      <c r="M37" s="3"/>
      <c r="N37" s="4"/>
    </row>
    <row r="38" customFormat="false" ht="12.8" hidden="false" customHeight="false" outlineLevel="0" collapsed="false">
      <c r="A38" s="1" t="n">
        <v>36</v>
      </c>
      <c r="B38" s="1" t="s">
        <v>83</v>
      </c>
      <c r="C38" s="1" t="n">
        <v>3</v>
      </c>
      <c r="D38" s="1" t="n">
        <v>3</v>
      </c>
      <c r="E38" s="1" t="n">
        <v>1</v>
      </c>
      <c r="F38" s="1" t="n">
        <v>1</v>
      </c>
      <c r="G38" s="1" t="s">
        <v>23</v>
      </c>
      <c r="H38" s="1" t="n">
        <f aca="false">H37/E38</f>
        <v>14</v>
      </c>
      <c r="I38" s="1" t="n">
        <f aca="false">I37/F38</f>
        <v>14</v>
      </c>
      <c r="J38" s="1" t="n">
        <f aca="false">J37</f>
        <v>256</v>
      </c>
      <c r="K38" s="3" t="n">
        <f aca="false">H38*I38*J38</f>
        <v>50176</v>
      </c>
      <c r="L38" s="3" t="n">
        <f aca="false">C38*D38*J37*J38</f>
        <v>589824</v>
      </c>
      <c r="M38" s="3" t="n">
        <f aca="false">L38*H38*I38</f>
        <v>115605504</v>
      </c>
      <c r="N38" s="4" t="n">
        <f aca="false">M38/M$55</f>
        <v>0.0317205926482042</v>
      </c>
    </row>
    <row r="39" customFormat="false" ht="12.8" hidden="false" customHeight="false" outlineLevel="0" collapsed="false">
      <c r="A39" s="1" t="n">
        <v>37</v>
      </c>
      <c r="B39" s="1" t="s">
        <v>84</v>
      </c>
      <c r="C39" s="1" t="n">
        <v>3</v>
      </c>
      <c r="D39" s="1" t="n">
        <v>3</v>
      </c>
      <c r="E39" s="1" t="n">
        <v>1</v>
      </c>
      <c r="F39" s="1" t="n">
        <v>1</v>
      </c>
      <c r="G39" s="1" t="s">
        <v>23</v>
      </c>
      <c r="H39" s="1" t="n">
        <f aca="false">H38/E39</f>
        <v>14</v>
      </c>
      <c r="I39" s="1" t="n">
        <f aca="false">I38/F39</f>
        <v>14</v>
      </c>
      <c r="J39" s="1" t="n">
        <f aca="false">J38</f>
        <v>256</v>
      </c>
      <c r="K39" s="3" t="n">
        <f aca="false">H39*I39*J39</f>
        <v>50176</v>
      </c>
      <c r="L39" s="3" t="n">
        <f aca="false">C39*D39*J38*J39</f>
        <v>589824</v>
      </c>
      <c r="M39" s="3" t="n">
        <f aca="false">L39*H39*I39</f>
        <v>115605504</v>
      </c>
      <c r="N39" s="4" t="n">
        <f aca="false">M39/M$55</f>
        <v>0.0317205926482042</v>
      </c>
    </row>
    <row r="40" customFormat="false" ht="12.8" hidden="false" customHeight="false" outlineLevel="0" collapsed="false">
      <c r="A40" s="1" t="n">
        <v>38</v>
      </c>
      <c r="B40" s="1" t="s">
        <v>85</v>
      </c>
      <c r="C40" s="0"/>
      <c r="D40" s="0"/>
      <c r="E40" s="1" t="n">
        <v>1</v>
      </c>
      <c r="F40" s="1" t="n">
        <v>1</v>
      </c>
      <c r="G40" s="1" t="s">
        <v>23</v>
      </c>
      <c r="H40" s="1" t="n">
        <f aca="false">H39/E40</f>
        <v>14</v>
      </c>
      <c r="I40" s="1" t="n">
        <f aca="false">I39/F40</f>
        <v>14</v>
      </c>
      <c r="J40" s="1" t="n">
        <f aca="false">J39</f>
        <v>256</v>
      </c>
      <c r="K40" s="3" t="n">
        <f aca="false">H40*I40*J40</f>
        <v>50176</v>
      </c>
      <c r="L40" s="3"/>
      <c r="M40" s="3"/>
      <c r="N40" s="4"/>
    </row>
    <row r="41" customFormat="false" ht="12.8" hidden="false" customHeight="false" outlineLevel="0" collapsed="false">
      <c r="A41" s="1" t="n">
        <v>39</v>
      </c>
      <c r="B41" s="1" t="s">
        <v>86</v>
      </c>
      <c r="C41" s="1" t="n">
        <v>3</v>
      </c>
      <c r="D41" s="1" t="n">
        <v>3</v>
      </c>
      <c r="E41" s="1" t="n">
        <v>1</v>
      </c>
      <c r="F41" s="1" t="n">
        <v>1</v>
      </c>
      <c r="G41" s="1" t="s">
        <v>23</v>
      </c>
      <c r="H41" s="1" t="n">
        <f aca="false">H40/E41</f>
        <v>14</v>
      </c>
      <c r="I41" s="1" t="n">
        <f aca="false">I40/F41</f>
        <v>14</v>
      </c>
      <c r="J41" s="1" t="n">
        <f aca="false">J40</f>
        <v>256</v>
      </c>
      <c r="K41" s="3" t="n">
        <f aca="false">H41*I41*J41</f>
        <v>50176</v>
      </c>
      <c r="L41" s="3" t="n">
        <f aca="false">C41*D41*J40*J41</f>
        <v>589824</v>
      </c>
      <c r="M41" s="3" t="n">
        <f aca="false">L41*H41*I41</f>
        <v>115605504</v>
      </c>
      <c r="N41" s="4" t="n">
        <f aca="false">M41/M$55</f>
        <v>0.0317205926482042</v>
      </c>
    </row>
    <row r="42" customFormat="false" ht="12.8" hidden="false" customHeight="false" outlineLevel="0" collapsed="false">
      <c r="A42" s="1" t="n">
        <v>40</v>
      </c>
      <c r="B42" s="1" t="s">
        <v>87</v>
      </c>
      <c r="C42" s="1" t="n">
        <v>3</v>
      </c>
      <c r="D42" s="1" t="n">
        <v>3</v>
      </c>
      <c r="E42" s="1" t="n">
        <v>1</v>
      </c>
      <c r="F42" s="1" t="n">
        <v>1</v>
      </c>
      <c r="G42" s="1" t="s">
        <v>23</v>
      </c>
      <c r="H42" s="1" t="n">
        <f aca="false">H41/E42</f>
        <v>14</v>
      </c>
      <c r="I42" s="1" t="n">
        <f aca="false">I41/F42</f>
        <v>14</v>
      </c>
      <c r="J42" s="1" t="n">
        <f aca="false">J41</f>
        <v>256</v>
      </c>
      <c r="K42" s="3" t="n">
        <f aca="false">H42*I42*J42</f>
        <v>50176</v>
      </c>
      <c r="L42" s="3" t="n">
        <f aca="false">C42*D42*J41*J42</f>
        <v>589824</v>
      </c>
      <c r="M42" s="3" t="n">
        <f aca="false">L42*H42*I42</f>
        <v>115605504</v>
      </c>
      <c r="N42" s="4" t="n">
        <f aca="false">M42/M$55</f>
        <v>0.0317205926482042</v>
      </c>
    </row>
    <row r="43" customFormat="false" ht="12.8" hidden="false" customHeight="false" outlineLevel="0" collapsed="false">
      <c r="A43" s="1" t="n">
        <v>41</v>
      </c>
      <c r="B43" s="1" t="s">
        <v>88</v>
      </c>
      <c r="C43" s="0"/>
      <c r="D43" s="0"/>
      <c r="E43" s="1" t="n">
        <v>1</v>
      </c>
      <c r="F43" s="1" t="n">
        <v>1</v>
      </c>
      <c r="G43" s="1" t="s">
        <v>23</v>
      </c>
      <c r="H43" s="1" t="n">
        <f aca="false">H42/E43</f>
        <v>14</v>
      </c>
      <c r="I43" s="1" t="n">
        <f aca="false">I42/F43</f>
        <v>14</v>
      </c>
      <c r="J43" s="1" t="n">
        <f aca="false">J42</f>
        <v>256</v>
      </c>
      <c r="K43" s="3" t="n">
        <f aca="false">H43*I43*J43</f>
        <v>50176</v>
      </c>
      <c r="L43" s="3"/>
      <c r="M43" s="3"/>
      <c r="N43" s="4"/>
    </row>
    <row r="44" customFormat="false" ht="12.8" hidden="false" customHeight="false" outlineLevel="0" collapsed="false">
      <c r="A44" s="1" t="n">
        <v>42</v>
      </c>
      <c r="B44" s="1" t="s">
        <v>89</v>
      </c>
      <c r="C44" s="1" t="n">
        <v>3</v>
      </c>
      <c r="D44" s="1" t="n">
        <v>3</v>
      </c>
      <c r="E44" s="1" t="n">
        <v>2</v>
      </c>
      <c r="F44" s="1" t="n">
        <v>2</v>
      </c>
      <c r="G44" s="1" t="s">
        <v>23</v>
      </c>
      <c r="H44" s="1" t="n">
        <f aca="false">H43/E44</f>
        <v>7</v>
      </c>
      <c r="I44" s="1" t="n">
        <f aca="false">I43/F44</f>
        <v>7</v>
      </c>
      <c r="J44" s="1" t="n">
        <v>512</v>
      </c>
      <c r="K44" s="3" t="n">
        <f aca="false">H44*I44*J44</f>
        <v>25088</v>
      </c>
      <c r="L44" s="3" t="n">
        <f aca="false">C44*D44*J43*J44</f>
        <v>1179648</v>
      </c>
      <c r="M44" s="3" t="n">
        <f aca="false">L44*H44*I44</f>
        <v>57802752</v>
      </c>
      <c r="N44" s="4" t="n">
        <f aca="false">M44/M$55</f>
        <v>0.0158602963241021</v>
      </c>
    </row>
    <row r="45" customFormat="false" ht="12.8" hidden="false" customHeight="false" outlineLevel="0" collapsed="false">
      <c r="A45" s="1" t="n">
        <v>43</v>
      </c>
      <c r="B45" s="1" t="s">
        <v>90</v>
      </c>
      <c r="C45" s="1" t="n">
        <v>3</v>
      </c>
      <c r="D45" s="1" t="n">
        <v>3</v>
      </c>
      <c r="E45" s="1" t="n">
        <v>1</v>
      </c>
      <c r="F45" s="1" t="n">
        <v>1</v>
      </c>
      <c r="G45" s="1" t="s">
        <v>23</v>
      </c>
      <c r="H45" s="1" t="n">
        <f aca="false">H44/E45</f>
        <v>7</v>
      </c>
      <c r="I45" s="1" t="n">
        <f aca="false">I44/F45</f>
        <v>7</v>
      </c>
      <c r="J45" s="1" t="n">
        <f aca="false">J44</f>
        <v>512</v>
      </c>
      <c r="K45" s="3" t="n">
        <f aca="false">H45*I45*J45</f>
        <v>25088</v>
      </c>
      <c r="L45" s="3" t="n">
        <f aca="false">C45*D45*J44*J45</f>
        <v>2359296</v>
      </c>
      <c r="M45" s="3" t="n">
        <f aca="false">L45*H45*I45</f>
        <v>115605504</v>
      </c>
      <c r="N45" s="4" t="n">
        <f aca="false">M45/M$55</f>
        <v>0.0317205926482042</v>
      </c>
    </row>
    <row r="46" customFormat="false" ht="12.8" hidden="false" customHeight="false" outlineLevel="0" collapsed="false">
      <c r="A46" s="1" t="n">
        <v>44</v>
      </c>
      <c r="B46" s="1" t="s">
        <v>91</v>
      </c>
      <c r="C46" s="0"/>
      <c r="D46" s="0"/>
      <c r="E46" s="1" t="n">
        <v>2</v>
      </c>
      <c r="F46" s="1" t="n">
        <v>2</v>
      </c>
      <c r="G46" s="1" t="s">
        <v>23</v>
      </c>
      <c r="H46" s="1" t="n">
        <f aca="false">H43/E46</f>
        <v>7</v>
      </c>
      <c r="I46" s="1" t="n">
        <f aca="false">I43/F46</f>
        <v>7</v>
      </c>
      <c r="J46" s="1" t="n">
        <f aca="false">J45</f>
        <v>512</v>
      </c>
      <c r="K46" s="3" t="n">
        <f aca="false">H46*I46*J46</f>
        <v>25088</v>
      </c>
      <c r="L46" s="3"/>
      <c r="M46" s="3"/>
      <c r="N46" s="4"/>
    </row>
    <row r="47" customFormat="false" ht="12.8" hidden="false" customHeight="false" outlineLevel="0" collapsed="false">
      <c r="A47" s="1" t="n">
        <v>45</v>
      </c>
      <c r="B47" s="1" t="s">
        <v>92</v>
      </c>
      <c r="C47" s="1" t="n">
        <v>3</v>
      </c>
      <c r="D47" s="1" t="n">
        <v>3</v>
      </c>
      <c r="E47" s="1" t="n">
        <v>1</v>
      </c>
      <c r="F47" s="1" t="n">
        <v>1</v>
      </c>
      <c r="G47" s="1" t="s">
        <v>23</v>
      </c>
      <c r="H47" s="1" t="n">
        <f aca="false">H46/E47</f>
        <v>7</v>
      </c>
      <c r="I47" s="1" t="n">
        <f aca="false">I46/F47</f>
        <v>7</v>
      </c>
      <c r="J47" s="1" t="n">
        <f aca="false">J46</f>
        <v>512</v>
      </c>
      <c r="K47" s="3" t="n">
        <f aca="false">H47*I47*J47</f>
        <v>25088</v>
      </c>
      <c r="L47" s="3" t="n">
        <f aca="false">C47*D47*J46*J47</f>
        <v>2359296</v>
      </c>
      <c r="M47" s="3" t="n">
        <f aca="false">L47*H47*I47</f>
        <v>115605504</v>
      </c>
      <c r="N47" s="4" t="n">
        <f aca="false">M47/M$55</f>
        <v>0.0317205926482042</v>
      </c>
    </row>
    <row r="48" customFormat="false" ht="12.8" hidden="false" customHeight="false" outlineLevel="0" collapsed="false">
      <c r="A48" s="1" t="n">
        <v>46</v>
      </c>
      <c r="B48" s="1" t="s">
        <v>93</v>
      </c>
      <c r="C48" s="1" t="n">
        <v>3</v>
      </c>
      <c r="D48" s="1" t="n">
        <v>3</v>
      </c>
      <c r="E48" s="1" t="n">
        <v>1</v>
      </c>
      <c r="F48" s="1" t="n">
        <v>1</v>
      </c>
      <c r="G48" s="1" t="s">
        <v>23</v>
      </c>
      <c r="H48" s="1" t="n">
        <f aca="false">H47/E48</f>
        <v>7</v>
      </c>
      <c r="I48" s="1" t="n">
        <f aca="false">I47/F48</f>
        <v>7</v>
      </c>
      <c r="J48" s="1" t="n">
        <f aca="false">J47</f>
        <v>512</v>
      </c>
      <c r="K48" s="3" t="n">
        <f aca="false">H48*I48*J48</f>
        <v>25088</v>
      </c>
      <c r="L48" s="3" t="n">
        <f aca="false">C48*D48*J47*J48</f>
        <v>2359296</v>
      </c>
      <c r="M48" s="3" t="n">
        <f aca="false">L48*H48*I48</f>
        <v>115605504</v>
      </c>
      <c r="N48" s="4" t="n">
        <f aca="false">M48/M$55</f>
        <v>0.0317205926482042</v>
      </c>
    </row>
    <row r="49" customFormat="false" ht="12.8" hidden="false" customHeight="false" outlineLevel="0" collapsed="false">
      <c r="A49" s="1" t="n">
        <v>47</v>
      </c>
      <c r="B49" s="1" t="s">
        <v>94</v>
      </c>
      <c r="C49" s="0"/>
      <c r="D49" s="0"/>
      <c r="E49" s="1" t="n">
        <v>1</v>
      </c>
      <c r="F49" s="1" t="n">
        <v>1</v>
      </c>
      <c r="G49" s="1" t="s">
        <v>23</v>
      </c>
      <c r="H49" s="1" t="n">
        <f aca="false">H48/E49</f>
        <v>7</v>
      </c>
      <c r="I49" s="1" t="n">
        <f aca="false">I48/F49</f>
        <v>7</v>
      </c>
      <c r="J49" s="1" t="n">
        <f aca="false">J48</f>
        <v>512</v>
      </c>
      <c r="K49" s="3" t="n">
        <f aca="false">H49*I49*J49</f>
        <v>25088</v>
      </c>
      <c r="L49" s="3"/>
      <c r="M49" s="3"/>
      <c r="N49" s="4"/>
    </row>
    <row r="50" customFormat="false" ht="12.8" hidden="false" customHeight="false" outlineLevel="0" collapsed="false">
      <c r="A50" s="1" t="n">
        <v>48</v>
      </c>
      <c r="B50" s="1" t="s">
        <v>95</v>
      </c>
      <c r="C50" s="1" t="n">
        <v>3</v>
      </c>
      <c r="D50" s="1" t="n">
        <v>3</v>
      </c>
      <c r="E50" s="1" t="n">
        <v>1</v>
      </c>
      <c r="F50" s="1" t="n">
        <v>1</v>
      </c>
      <c r="G50" s="1" t="s">
        <v>23</v>
      </c>
      <c r="H50" s="1" t="n">
        <f aca="false">H49/E50</f>
        <v>7</v>
      </c>
      <c r="I50" s="1" t="n">
        <f aca="false">I49/F50</f>
        <v>7</v>
      </c>
      <c r="J50" s="1" t="n">
        <f aca="false">J49</f>
        <v>512</v>
      </c>
      <c r="K50" s="3" t="n">
        <f aca="false">H50*I50*J50</f>
        <v>25088</v>
      </c>
      <c r="L50" s="3" t="n">
        <f aca="false">C50*D50*J49*J50</f>
        <v>2359296</v>
      </c>
      <c r="M50" s="3" t="n">
        <f aca="false">L50*H50*I50</f>
        <v>115605504</v>
      </c>
      <c r="N50" s="4" t="n">
        <f aca="false">M50/M$55</f>
        <v>0.0317205926482042</v>
      </c>
    </row>
    <row r="51" customFormat="false" ht="12.8" hidden="false" customHeight="false" outlineLevel="0" collapsed="false">
      <c r="A51" s="1" t="n">
        <v>49</v>
      </c>
      <c r="B51" s="1" t="s">
        <v>96</v>
      </c>
      <c r="C51" s="1" t="n">
        <v>3</v>
      </c>
      <c r="D51" s="1" t="n">
        <v>3</v>
      </c>
      <c r="E51" s="1" t="n">
        <v>1</v>
      </c>
      <c r="F51" s="1" t="n">
        <v>1</v>
      </c>
      <c r="G51" s="1" t="s">
        <v>23</v>
      </c>
      <c r="H51" s="1" t="n">
        <f aca="false">H50/E51</f>
        <v>7</v>
      </c>
      <c r="I51" s="1" t="n">
        <f aca="false">I50/F51</f>
        <v>7</v>
      </c>
      <c r="J51" s="1" t="n">
        <f aca="false">J50</f>
        <v>512</v>
      </c>
      <c r="K51" s="3" t="n">
        <f aca="false">H51*I51*J51</f>
        <v>25088</v>
      </c>
      <c r="L51" s="3" t="n">
        <f aca="false">C51*D51*J50*J51</f>
        <v>2359296</v>
      </c>
      <c r="M51" s="3" t="n">
        <f aca="false">L51*H51*I51</f>
        <v>115605504</v>
      </c>
      <c r="N51" s="4" t="n">
        <f aca="false">M51/M$55</f>
        <v>0.0317205926482042</v>
      </c>
    </row>
    <row r="52" customFormat="false" ht="12.8" hidden="false" customHeight="false" outlineLevel="0" collapsed="false">
      <c r="A52" s="1" t="n">
        <v>50</v>
      </c>
      <c r="B52" s="1" t="s">
        <v>97</v>
      </c>
      <c r="C52" s="0"/>
      <c r="D52" s="0"/>
      <c r="E52" s="1" t="n">
        <v>1</v>
      </c>
      <c r="F52" s="1" t="n">
        <v>1</v>
      </c>
      <c r="G52" s="1" t="s">
        <v>23</v>
      </c>
      <c r="H52" s="1" t="n">
        <f aca="false">H51/E52</f>
        <v>7</v>
      </c>
      <c r="I52" s="1" t="n">
        <f aca="false">I51/F52</f>
        <v>7</v>
      </c>
      <c r="J52" s="1" t="n">
        <f aca="false">J51</f>
        <v>512</v>
      </c>
      <c r="K52" s="3" t="n">
        <f aca="false">H52*I52*J52</f>
        <v>25088</v>
      </c>
      <c r="L52" s="3"/>
      <c r="M52" s="3"/>
      <c r="N52" s="4"/>
    </row>
    <row r="53" customFormat="false" ht="12.8" hidden="false" customHeight="false" outlineLevel="0" collapsed="false">
      <c r="A53" s="1" t="n">
        <v>51</v>
      </c>
      <c r="B53" s="1" t="s">
        <v>98</v>
      </c>
      <c r="C53" s="1" t="n">
        <v>7</v>
      </c>
      <c r="D53" s="1" t="n">
        <v>7</v>
      </c>
      <c r="E53" s="0"/>
      <c r="F53" s="0"/>
      <c r="G53" s="0"/>
      <c r="H53" s="1" t="n">
        <v>1</v>
      </c>
      <c r="I53" s="1" t="n">
        <v>1</v>
      </c>
      <c r="J53" s="1" t="n">
        <v>512</v>
      </c>
      <c r="K53" s="3" t="n">
        <f aca="false">H53*I53*J53</f>
        <v>512</v>
      </c>
      <c r="L53" s="0"/>
      <c r="M53" s="0"/>
      <c r="N53" s="4"/>
    </row>
    <row r="54" customFormat="false" ht="12.8" hidden="false" customHeight="false" outlineLevel="0" collapsed="false">
      <c r="A54" s="1" t="n">
        <v>52</v>
      </c>
      <c r="B54" s="1" t="s">
        <v>31</v>
      </c>
      <c r="C54" s="0"/>
      <c r="D54" s="0"/>
      <c r="E54" s="0"/>
      <c r="F54" s="0"/>
      <c r="G54" s="0"/>
      <c r="H54" s="1" t="n">
        <v>1</v>
      </c>
      <c r="I54" s="1" t="n">
        <v>1</v>
      </c>
      <c r="J54" s="1" t="n">
        <v>1000</v>
      </c>
      <c r="K54" s="3" t="n">
        <f aca="false">H54*I54*J54</f>
        <v>1000</v>
      </c>
      <c r="L54" s="3" t="n">
        <f aca="false">J53*J54</f>
        <v>512000</v>
      </c>
      <c r="M54" s="3" t="n">
        <f aca="false">J53*J54</f>
        <v>512000</v>
      </c>
      <c r="N54" s="4" t="n">
        <f aca="false">M54/M$55</f>
        <v>0.000140485901396879</v>
      </c>
    </row>
    <row r="55" customFormat="false" ht="12.8" hidden="false" customHeight="false" outlineLevel="0" collapsed="false">
      <c r="A55" s="5" t="s">
        <v>34</v>
      </c>
      <c r="B55" s="5"/>
      <c r="C55" s="5"/>
      <c r="D55" s="5"/>
      <c r="E55" s="5"/>
      <c r="F55" s="5"/>
      <c r="G55" s="5"/>
      <c r="H55" s="5"/>
      <c r="I55" s="5"/>
      <c r="J55" s="5"/>
      <c r="K55" s="3" t="n">
        <f aca="false">SUM(K2:K54)</f>
        <v>5295080</v>
      </c>
      <c r="L55" s="3" t="n">
        <f aca="false">SUM(L2:L54)</f>
        <v>21607616</v>
      </c>
      <c r="M55" s="3" t="n">
        <f aca="false">SUM(M2:M54)</f>
        <v>3644493824</v>
      </c>
    </row>
  </sheetData>
  <mergeCells count="1">
    <mergeCell ref="A55:J5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5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C4" activeCellId="0" sqref="C4"/>
    </sheetView>
  </sheetViews>
  <sheetFormatPr defaultRowHeight="12.8"/>
  <cols>
    <col collapsed="false" hidden="false" max="1" min="1" style="1" width="10.1224489795918"/>
    <col collapsed="false" hidden="false" max="2" min="2" style="1" width="16.0663265306122"/>
    <col collapsed="false" hidden="false" max="3" min="3" style="1" width="16.7397959183673"/>
    <col collapsed="false" hidden="false" max="4" min="4" style="1" width="15.6581632653061"/>
    <col collapsed="false" hidden="false" max="5" min="5" style="1" width="11.6071428571429"/>
    <col collapsed="false" hidden="false" max="6" min="6" style="1" width="11.3418367346939"/>
    <col collapsed="false" hidden="false" max="7" min="7" style="1" width="10.1224489795918"/>
    <col collapsed="false" hidden="false" max="8" min="8" style="1" width="16.1989795918367"/>
    <col collapsed="false" hidden="false" max="9" min="9" style="1" width="16.469387755102"/>
    <col collapsed="false" hidden="false" max="10" min="10" style="1" width="17.5510204081633"/>
    <col collapsed="false" hidden="false" max="12" min="11" style="1" width="10.6632653061225"/>
    <col collapsed="false" hidden="false" max="13" min="13" style="1" width="12.9591836734694"/>
    <col collapsed="false" hidden="false" max="14" min="14" style="1" width="10.1224489795918"/>
    <col collapsed="false" hidden="false" max="15" min="15" style="1" width="18.0867346938776"/>
    <col collapsed="false" hidden="false" max="1025" min="16" style="1" width="10.122448979591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1" t="s">
        <v>13</v>
      </c>
    </row>
    <row r="2" customFormat="false" ht="12.8" hidden="false" customHeight="false" outlineLevel="0" collapsed="false">
      <c r="A2" s="1" t="n">
        <v>0</v>
      </c>
      <c r="B2" s="1" t="s">
        <v>15</v>
      </c>
      <c r="C2" s="0"/>
      <c r="D2" s="0"/>
      <c r="E2" s="0"/>
      <c r="F2" s="0"/>
      <c r="G2" s="0"/>
      <c r="H2" s="1" t="n">
        <v>224</v>
      </c>
      <c r="I2" s="1" t="n">
        <v>224</v>
      </c>
      <c r="J2" s="1" t="n">
        <v>3</v>
      </c>
      <c r="K2" s="3" t="n">
        <f aca="false">H2*I2*J2</f>
        <v>150528</v>
      </c>
      <c r="L2" s="3"/>
      <c r="M2" s="3"/>
      <c r="N2" s="4"/>
    </row>
    <row r="3" customFormat="false" ht="12.8" hidden="false" customHeight="false" outlineLevel="0" collapsed="false">
      <c r="A3" s="1" t="n">
        <v>1</v>
      </c>
      <c r="B3" s="1" t="s">
        <v>49</v>
      </c>
      <c r="C3" s="1" t="n">
        <v>7</v>
      </c>
      <c r="D3" s="1" t="n">
        <v>7</v>
      </c>
      <c r="E3" s="1" t="n">
        <v>2</v>
      </c>
      <c r="F3" s="1" t="n">
        <v>2</v>
      </c>
      <c r="G3" s="1" t="s">
        <v>23</v>
      </c>
      <c r="H3" s="1" t="n">
        <f aca="false">H2/E3</f>
        <v>112</v>
      </c>
      <c r="I3" s="1" t="n">
        <f aca="false">I2/F3</f>
        <v>112</v>
      </c>
      <c r="J3" s="1" t="n">
        <v>64</v>
      </c>
      <c r="K3" s="3" t="n">
        <f aca="false">H3*I3*J3</f>
        <v>802816</v>
      </c>
      <c r="L3" s="3" t="n">
        <f aca="false">C3*D3*J2*J3</f>
        <v>9408</v>
      </c>
      <c r="M3" s="3" t="n">
        <f aca="false">L3*H3*I3</f>
        <v>118013952</v>
      </c>
      <c r="N3" s="4" t="n">
        <f aca="false">M3/M$55</f>
        <v>0.0322111455572164</v>
      </c>
    </row>
    <row r="4" customFormat="false" ht="12.8" hidden="false" customHeight="false" outlineLevel="0" collapsed="false">
      <c r="A4" s="1" t="n">
        <v>2</v>
      </c>
      <c r="B4" s="1" t="s">
        <v>20</v>
      </c>
      <c r="C4" s="1" t="n">
        <v>2</v>
      </c>
      <c r="D4" s="1" t="n">
        <v>2</v>
      </c>
      <c r="E4" s="1" t="n">
        <v>2</v>
      </c>
      <c r="F4" s="1" t="n">
        <v>2</v>
      </c>
      <c r="G4" s="1" t="s">
        <v>23</v>
      </c>
      <c r="H4" s="1" t="n">
        <f aca="false">H3/E4</f>
        <v>56</v>
      </c>
      <c r="I4" s="1" t="n">
        <f aca="false">I3/F4</f>
        <v>56</v>
      </c>
      <c r="J4" s="1" t="n">
        <f aca="false">J3</f>
        <v>64</v>
      </c>
      <c r="K4" s="3" t="n">
        <f aca="false">H4*I4*J4</f>
        <v>200704</v>
      </c>
      <c r="L4" s="0"/>
      <c r="M4" s="0"/>
      <c r="N4" s="4"/>
    </row>
    <row r="5" customFormat="false" ht="12.8" hidden="false" customHeight="false" outlineLevel="0" collapsed="false">
      <c r="A5" s="1" t="n">
        <v>3</v>
      </c>
      <c r="B5" s="1" t="s">
        <v>50</v>
      </c>
      <c r="C5" s="1" t="n">
        <v>3</v>
      </c>
      <c r="D5" s="1" t="n">
        <v>3</v>
      </c>
      <c r="E5" s="1" t="n">
        <v>1</v>
      </c>
      <c r="F5" s="1" t="n">
        <v>1</v>
      </c>
      <c r="G5" s="1" t="s">
        <v>23</v>
      </c>
      <c r="H5" s="1" t="n">
        <f aca="false">H4/E5</f>
        <v>56</v>
      </c>
      <c r="I5" s="1" t="n">
        <f aca="false">I4/F5</f>
        <v>56</v>
      </c>
      <c r="J5" s="1" t="n">
        <f aca="false">J4</f>
        <v>64</v>
      </c>
      <c r="K5" s="3" t="n">
        <f aca="false">H5*I5*J5</f>
        <v>200704</v>
      </c>
      <c r="L5" s="3" t="n">
        <f aca="false">C5*D5*J4*J5</f>
        <v>36864</v>
      </c>
      <c r="M5" s="3" t="n">
        <f aca="false">L5*H5*I5</f>
        <v>115605504</v>
      </c>
      <c r="N5" s="4" t="n">
        <f aca="false">M5/M$55</f>
        <v>0.0315537752397222</v>
      </c>
    </row>
    <row r="6" customFormat="false" ht="12.8" hidden="false" customHeight="false" outlineLevel="0" collapsed="false">
      <c r="A6" s="1" t="n">
        <v>4</v>
      </c>
      <c r="B6" s="1" t="s">
        <v>51</v>
      </c>
      <c r="C6" s="1" t="n">
        <v>3</v>
      </c>
      <c r="D6" s="1" t="n">
        <v>3</v>
      </c>
      <c r="E6" s="1" t="n">
        <v>1</v>
      </c>
      <c r="F6" s="1" t="n">
        <v>1</v>
      </c>
      <c r="G6" s="1" t="s">
        <v>23</v>
      </c>
      <c r="H6" s="1" t="n">
        <f aca="false">H5/E6</f>
        <v>56</v>
      </c>
      <c r="I6" s="1" t="n">
        <f aca="false">I5/F6</f>
        <v>56</v>
      </c>
      <c r="J6" s="1" t="n">
        <f aca="false">J5</f>
        <v>64</v>
      </c>
      <c r="K6" s="3" t="n">
        <f aca="false">H6*I6*J6</f>
        <v>200704</v>
      </c>
      <c r="L6" s="3" t="n">
        <f aca="false">C6*D6*J5*J6</f>
        <v>36864</v>
      </c>
      <c r="M6" s="3" t="n">
        <f aca="false">L6*H6*I6</f>
        <v>115605504</v>
      </c>
      <c r="N6" s="4" t="n">
        <f aca="false">M6/M$55</f>
        <v>0.0315537752397222</v>
      </c>
    </row>
    <row r="7" customFormat="false" ht="12.8" hidden="false" customHeight="false" outlineLevel="0" collapsed="false">
      <c r="A7" s="1" t="n">
        <v>5</v>
      </c>
      <c r="B7" s="1" t="s">
        <v>52</v>
      </c>
      <c r="C7" s="0"/>
      <c r="D7" s="0"/>
      <c r="E7" s="1" t="n">
        <v>1</v>
      </c>
      <c r="F7" s="1" t="n">
        <v>1</v>
      </c>
      <c r="G7" s="1" t="s">
        <v>23</v>
      </c>
      <c r="H7" s="1" t="n">
        <f aca="false">H6/E7</f>
        <v>56</v>
      </c>
      <c r="I7" s="1" t="n">
        <f aca="false">I6/F7</f>
        <v>56</v>
      </c>
      <c r="J7" s="1" t="n">
        <f aca="false">J6</f>
        <v>64</v>
      </c>
      <c r="K7" s="3" t="n">
        <f aca="false">H7*I7*J7</f>
        <v>200704</v>
      </c>
      <c r="L7" s="3"/>
      <c r="M7" s="3"/>
      <c r="N7" s="4"/>
    </row>
    <row r="8" customFormat="false" ht="12.8" hidden="false" customHeight="false" outlineLevel="0" collapsed="false">
      <c r="A8" s="1" t="n">
        <v>6</v>
      </c>
      <c r="B8" s="1" t="s">
        <v>53</v>
      </c>
      <c r="C8" s="1" t="n">
        <v>3</v>
      </c>
      <c r="D8" s="1" t="n">
        <v>3</v>
      </c>
      <c r="E8" s="1" t="n">
        <v>1</v>
      </c>
      <c r="F8" s="1" t="n">
        <v>1</v>
      </c>
      <c r="G8" s="1" t="s">
        <v>23</v>
      </c>
      <c r="H8" s="1" t="n">
        <f aca="false">H7/E8</f>
        <v>56</v>
      </c>
      <c r="I8" s="1" t="n">
        <f aca="false">I7/F8</f>
        <v>56</v>
      </c>
      <c r="J8" s="1" t="n">
        <f aca="false">J7</f>
        <v>64</v>
      </c>
      <c r="K8" s="3" t="n">
        <f aca="false">H8*I8*J8</f>
        <v>200704</v>
      </c>
      <c r="L8" s="3" t="n">
        <f aca="false">C8*D8*J7*J8</f>
        <v>36864</v>
      </c>
      <c r="M8" s="3" t="n">
        <f aca="false">L8*H8*I8</f>
        <v>115605504</v>
      </c>
      <c r="N8" s="4" t="n">
        <f aca="false">M8/M$55</f>
        <v>0.0315537752397222</v>
      </c>
    </row>
    <row r="9" customFormat="false" ht="12.8" hidden="false" customHeight="false" outlineLevel="0" collapsed="false">
      <c r="A9" s="1" t="n">
        <v>7</v>
      </c>
      <c r="B9" s="1" t="s">
        <v>54</v>
      </c>
      <c r="C9" s="1" t="n">
        <v>3</v>
      </c>
      <c r="D9" s="1" t="n">
        <v>3</v>
      </c>
      <c r="E9" s="1" t="n">
        <v>1</v>
      </c>
      <c r="F9" s="1" t="n">
        <v>1</v>
      </c>
      <c r="G9" s="1" t="s">
        <v>23</v>
      </c>
      <c r="H9" s="1" t="n">
        <f aca="false">H8/E9</f>
        <v>56</v>
      </c>
      <c r="I9" s="1" t="n">
        <f aca="false">I8/F9</f>
        <v>56</v>
      </c>
      <c r="J9" s="1" t="n">
        <f aca="false">J8</f>
        <v>64</v>
      </c>
      <c r="K9" s="3" t="n">
        <f aca="false">H9*I9*J9</f>
        <v>200704</v>
      </c>
      <c r="L9" s="3" t="n">
        <f aca="false">C9*D9*J8*J9</f>
        <v>36864</v>
      </c>
      <c r="M9" s="3" t="n">
        <f aca="false">L9*H9*I9</f>
        <v>115605504</v>
      </c>
      <c r="N9" s="4" t="n">
        <f aca="false">M9/M$55</f>
        <v>0.0315537752397222</v>
      </c>
    </row>
    <row r="10" customFormat="false" ht="12.8" hidden="false" customHeight="false" outlineLevel="0" collapsed="false">
      <c r="A10" s="1" t="n">
        <v>8</v>
      </c>
      <c r="B10" s="1" t="s">
        <v>55</v>
      </c>
      <c r="C10" s="0"/>
      <c r="D10" s="0"/>
      <c r="E10" s="1" t="n">
        <v>1</v>
      </c>
      <c r="F10" s="1" t="n">
        <v>1</v>
      </c>
      <c r="G10" s="1" t="s">
        <v>23</v>
      </c>
      <c r="H10" s="1" t="n">
        <f aca="false">H9/E10</f>
        <v>56</v>
      </c>
      <c r="I10" s="1" t="n">
        <f aca="false">I9/F10</f>
        <v>56</v>
      </c>
      <c r="J10" s="1" t="n">
        <f aca="false">J9</f>
        <v>64</v>
      </c>
      <c r="K10" s="3" t="n">
        <f aca="false">H10*I10*J10</f>
        <v>200704</v>
      </c>
      <c r="L10" s="3"/>
      <c r="M10" s="3"/>
      <c r="N10" s="4"/>
    </row>
    <row r="11" customFormat="false" ht="12.8" hidden="false" customHeight="false" outlineLevel="0" collapsed="false">
      <c r="A11" s="1" t="n">
        <v>9</v>
      </c>
      <c r="B11" s="1" t="s">
        <v>56</v>
      </c>
      <c r="C11" s="1" t="n">
        <v>3</v>
      </c>
      <c r="D11" s="1" t="n">
        <v>3</v>
      </c>
      <c r="E11" s="1" t="n">
        <v>1</v>
      </c>
      <c r="F11" s="1" t="n">
        <v>1</v>
      </c>
      <c r="G11" s="1" t="s">
        <v>23</v>
      </c>
      <c r="H11" s="1" t="n">
        <f aca="false">H10/E11</f>
        <v>56</v>
      </c>
      <c r="I11" s="1" t="n">
        <f aca="false">I10/F11</f>
        <v>56</v>
      </c>
      <c r="J11" s="1" t="n">
        <f aca="false">J10</f>
        <v>64</v>
      </c>
      <c r="K11" s="3" t="n">
        <f aca="false">H11*I11*J11</f>
        <v>200704</v>
      </c>
      <c r="L11" s="3" t="n">
        <f aca="false">C11*D11*J10*J11</f>
        <v>36864</v>
      </c>
      <c r="M11" s="3" t="n">
        <f aca="false">L11*H11*I11</f>
        <v>115605504</v>
      </c>
      <c r="N11" s="4" t="n">
        <f aca="false">M11/M$55</f>
        <v>0.0315537752397222</v>
      </c>
    </row>
    <row r="12" customFormat="false" ht="12.8" hidden="false" customHeight="false" outlineLevel="0" collapsed="false">
      <c r="A12" s="1" t="n">
        <v>10</v>
      </c>
      <c r="B12" s="1" t="s">
        <v>57</v>
      </c>
      <c r="C12" s="1" t="n">
        <v>3</v>
      </c>
      <c r="D12" s="1" t="n">
        <v>3</v>
      </c>
      <c r="E12" s="1" t="n">
        <v>1</v>
      </c>
      <c r="F12" s="1" t="n">
        <v>1</v>
      </c>
      <c r="G12" s="1" t="s">
        <v>23</v>
      </c>
      <c r="H12" s="1" t="n">
        <f aca="false">H11/E12</f>
        <v>56</v>
      </c>
      <c r="I12" s="1" t="n">
        <f aca="false">I11/F12</f>
        <v>56</v>
      </c>
      <c r="J12" s="1" t="n">
        <f aca="false">J11</f>
        <v>64</v>
      </c>
      <c r="K12" s="3" t="n">
        <f aca="false">H12*I12*J12</f>
        <v>200704</v>
      </c>
      <c r="L12" s="3" t="n">
        <f aca="false">C12*D12*J11*J12</f>
        <v>36864</v>
      </c>
      <c r="M12" s="3" t="n">
        <f aca="false">L12*H12*I12</f>
        <v>115605504</v>
      </c>
      <c r="N12" s="4" t="n">
        <f aca="false">M12/M$55</f>
        <v>0.0315537752397222</v>
      </c>
    </row>
    <row r="13" customFormat="false" ht="12.8" hidden="false" customHeight="false" outlineLevel="0" collapsed="false">
      <c r="A13" s="1" t="n">
        <v>11</v>
      </c>
      <c r="B13" s="1" t="s">
        <v>58</v>
      </c>
      <c r="C13" s="0"/>
      <c r="D13" s="0"/>
      <c r="E13" s="1" t="n">
        <v>1</v>
      </c>
      <c r="F13" s="1" t="n">
        <v>1</v>
      </c>
      <c r="G13" s="1" t="s">
        <v>23</v>
      </c>
      <c r="H13" s="1" t="n">
        <f aca="false">H12/E13</f>
        <v>56</v>
      </c>
      <c r="I13" s="1" t="n">
        <f aca="false">I12/F13</f>
        <v>56</v>
      </c>
      <c r="J13" s="1" t="n">
        <f aca="false">J12</f>
        <v>64</v>
      </c>
      <c r="K13" s="3" t="n">
        <f aca="false">H13*I13*J13</f>
        <v>200704</v>
      </c>
      <c r="L13" s="3"/>
      <c r="M13" s="3"/>
      <c r="N13" s="4"/>
    </row>
    <row r="14" customFormat="false" ht="12.8" hidden="false" customHeight="false" outlineLevel="0" collapsed="false">
      <c r="A14" s="1" t="n">
        <v>12</v>
      </c>
      <c r="B14" s="1" t="s">
        <v>59</v>
      </c>
      <c r="C14" s="1" t="n">
        <v>3</v>
      </c>
      <c r="D14" s="1" t="n">
        <v>3</v>
      </c>
      <c r="E14" s="1" t="n">
        <v>2</v>
      </c>
      <c r="F14" s="1" t="n">
        <v>2</v>
      </c>
      <c r="G14" s="1" t="s">
        <v>23</v>
      </c>
      <c r="H14" s="1" t="n">
        <f aca="false">H13/E14</f>
        <v>28</v>
      </c>
      <c r="I14" s="1" t="n">
        <f aca="false">I13/F14</f>
        <v>28</v>
      </c>
      <c r="J14" s="1" t="n">
        <v>128</v>
      </c>
      <c r="K14" s="3" t="n">
        <f aca="false">H14*I14*J14</f>
        <v>100352</v>
      </c>
      <c r="L14" s="3" t="n">
        <f aca="false">C14*D14*J13*J14</f>
        <v>73728</v>
      </c>
      <c r="M14" s="3" t="n">
        <f aca="false">L14*H14*I14</f>
        <v>57802752</v>
      </c>
      <c r="N14" s="4" t="n">
        <f aca="false">M14/M$55</f>
        <v>0.0157768876198611</v>
      </c>
    </row>
    <row r="15" customFormat="false" ht="12.8" hidden="false" customHeight="false" outlineLevel="0" collapsed="false">
      <c r="A15" s="1" t="n">
        <v>13</v>
      </c>
      <c r="B15" s="1" t="s">
        <v>60</v>
      </c>
      <c r="C15" s="1" t="n">
        <v>3</v>
      </c>
      <c r="D15" s="1" t="n">
        <v>3</v>
      </c>
      <c r="E15" s="1" t="n">
        <v>1</v>
      </c>
      <c r="F15" s="1" t="n">
        <v>1</v>
      </c>
      <c r="G15" s="1" t="s">
        <v>23</v>
      </c>
      <c r="H15" s="1" t="n">
        <f aca="false">H14/E15</f>
        <v>28</v>
      </c>
      <c r="I15" s="1" t="n">
        <f aca="false">I14/F15</f>
        <v>28</v>
      </c>
      <c r="J15" s="1" t="n">
        <f aca="false">J14</f>
        <v>128</v>
      </c>
      <c r="K15" s="3" t="n">
        <f aca="false">H15*I15*J15</f>
        <v>100352</v>
      </c>
      <c r="L15" s="3" t="n">
        <f aca="false">C15*D15*J14*J15</f>
        <v>147456</v>
      </c>
      <c r="M15" s="3" t="n">
        <f aca="false">L15*H15*I15</f>
        <v>115605504</v>
      </c>
      <c r="N15" s="4" t="n">
        <f aca="false">M15/M$55</f>
        <v>0.0315537752397222</v>
      </c>
    </row>
    <row r="16" customFormat="false" ht="12.8" hidden="false" customHeight="false" outlineLevel="0" collapsed="false">
      <c r="A16" s="1" t="n">
        <v>14</v>
      </c>
      <c r="B16" s="1" t="s">
        <v>61</v>
      </c>
      <c r="C16" s="1" t="n">
        <v>1</v>
      </c>
      <c r="D16" s="1" t="n">
        <v>1</v>
      </c>
      <c r="E16" s="1" t="n">
        <v>2</v>
      </c>
      <c r="F16" s="1" t="n">
        <v>2</v>
      </c>
      <c r="G16" s="1" t="s">
        <v>23</v>
      </c>
      <c r="H16" s="1" t="n">
        <f aca="false">H13/E16</f>
        <v>28</v>
      </c>
      <c r="I16" s="1" t="n">
        <f aca="false">I13/F16</f>
        <v>28</v>
      </c>
      <c r="J16" s="1" t="n">
        <f aca="false">J15</f>
        <v>128</v>
      </c>
      <c r="K16" s="3" t="n">
        <f aca="false">H16*I16*J16</f>
        <v>100352</v>
      </c>
      <c r="L16" s="3" t="n">
        <f aca="false">C16*D16*J13*J16</f>
        <v>8192</v>
      </c>
      <c r="M16" s="3" t="n">
        <f aca="false">L16*H16*I16</f>
        <v>6422528</v>
      </c>
      <c r="N16" s="4" t="n">
        <f aca="false">M16/M$55</f>
        <v>0.0017529875133179</v>
      </c>
    </row>
    <row r="17" customFormat="false" ht="12.8" hidden="false" customHeight="false" outlineLevel="0" collapsed="false">
      <c r="A17" s="1" t="n">
        <v>15</v>
      </c>
      <c r="B17" s="1" t="s">
        <v>62</v>
      </c>
      <c r="C17" s="1" t="n">
        <v>3</v>
      </c>
      <c r="D17" s="1" t="n">
        <v>3</v>
      </c>
      <c r="E17" s="1" t="n">
        <v>1</v>
      </c>
      <c r="F17" s="1" t="n">
        <v>1</v>
      </c>
      <c r="G17" s="1" t="s">
        <v>23</v>
      </c>
      <c r="H17" s="1" t="n">
        <f aca="false">H16/E17</f>
        <v>28</v>
      </c>
      <c r="I17" s="1" t="n">
        <f aca="false">I16/F17</f>
        <v>28</v>
      </c>
      <c r="J17" s="1" t="n">
        <f aca="false">J16</f>
        <v>128</v>
      </c>
      <c r="K17" s="3" t="n">
        <f aca="false">H17*I17*J17</f>
        <v>100352</v>
      </c>
      <c r="L17" s="3" t="n">
        <f aca="false">C17*D17*J16*J17</f>
        <v>147456</v>
      </c>
      <c r="M17" s="3" t="n">
        <f aca="false">L17*H17*I17</f>
        <v>115605504</v>
      </c>
      <c r="N17" s="4" t="n">
        <f aca="false">M17/M$55</f>
        <v>0.0315537752397222</v>
      </c>
    </row>
    <row r="18" customFormat="false" ht="12.8" hidden="false" customHeight="false" outlineLevel="0" collapsed="false">
      <c r="A18" s="1" t="n">
        <v>16</v>
      </c>
      <c r="B18" s="1" t="s">
        <v>63</v>
      </c>
      <c r="C18" s="1" t="n">
        <v>3</v>
      </c>
      <c r="D18" s="1" t="n">
        <v>3</v>
      </c>
      <c r="E18" s="1" t="n">
        <v>1</v>
      </c>
      <c r="F18" s="1" t="n">
        <v>1</v>
      </c>
      <c r="G18" s="1" t="s">
        <v>23</v>
      </c>
      <c r="H18" s="1" t="n">
        <f aca="false">H17/E18</f>
        <v>28</v>
      </c>
      <c r="I18" s="1" t="n">
        <f aca="false">I17/F18</f>
        <v>28</v>
      </c>
      <c r="J18" s="1" t="n">
        <f aca="false">J17</f>
        <v>128</v>
      </c>
      <c r="K18" s="3" t="n">
        <f aca="false">H18*I18*J18</f>
        <v>100352</v>
      </c>
      <c r="L18" s="3" t="n">
        <f aca="false">C18*D18*J17*J18</f>
        <v>147456</v>
      </c>
      <c r="M18" s="3" t="n">
        <f aca="false">L18*H18*I18</f>
        <v>115605504</v>
      </c>
      <c r="N18" s="4" t="n">
        <f aca="false">M18/M$55</f>
        <v>0.0315537752397222</v>
      </c>
    </row>
    <row r="19" customFormat="false" ht="12.8" hidden="false" customHeight="false" outlineLevel="0" collapsed="false">
      <c r="A19" s="1" t="n">
        <v>17</v>
      </c>
      <c r="B19" s="1" t="s">
        <v>64</v>
      </c>
      <c r="C19" s="0"/>
      <c r="D19" s="0"/>
      <c r="E19" s="1" t="n">
        <v>1</v>
      </c>
      <c r="F19" s="1" t="n">
        <v>1</v>
      </c>
      <c r="G19" s="1" t="s">
        <v>23</v>
      </c>
      <c r="H19" s="1" t="n">
        <f aca="false">H18/E19</f>
        <v>28</v>
      </c>
      <c r="I19" s="1" t="n">
        <f aca="false">I18/F19</f>
        <v>28</v>
      </c>
      <c r="J19" s="1" t="n">
        <f aca="false">J18</f>
        <v>128</v>
      </c>
      <c r="K19" s="3" t="n">
        <f aca="false">H19*I19*J19</f>
        <v>100352</v>
      </c>
      <c r="L19" s="3"/>
      <c r="M19" s="3"/>
      <c r="N19" s="4"/>
    </row>
    <row r="20" customFormat="false" ht="12.8" hidden="false" customHeight="false" outlineLevel="0" collapsed="false">
      <c r="A20" s="1" t="n">
        <v>18</v>
      </c>
      <c r="B20" s="1" t="s">
        <v>65</v>
      </c>
      <c r="C20" s="1" t="n">
        <v>3</v>
      </c>
      <c r="D20" s="1" t="n">
        <v>3</v>
      </c>
      <c r="E20" s="1" t="n">
        <v>1</v>
      </c>
      <c r="F20" s="1" t="n">
        <v>1</v>
      </c>
      <c r="G20" s="1" t="s">
        <v>23</v>
      </c>
      <c r="H20" s="1" t="n">
        <f aca="false">H19/E20</f>
        <v>28</v>
      </c>
      <c r="I20" s="1" t="n">
        <f aca="false">I19/F20</f>
        <v>28</v>
      </c>
      <c r="J20" s="1" t="n">
        <f aca="false">J19</f>
        <v>128</v>
      </c>
      <c r="K20" s="3" t="n">
        <f aca="false">H20*I20*J20</f>
        <v>100352</v>
      </c>
      <c r="L20" s="3" t="n">
        <f aca="false">C20*D20*J19*J20</f>
        <v>147456</v>
      </c>
      <c r="M20" s="3" t="n">
        <f aca="false">L20*H20*I20</f>
        <v>115605504</v>
      </c>
      <c r="N20" s="4" t="n">
        <f aca="false">M20/M$55</f>
        <v>0.0315537752397222</v>
      </c>
    </row>
    <row r="21" customFormat="false" ht="12.8" hidden="false" customHeight="false" outlineLevel="0" collapsed="false">
      <c r="A21" s="1" t="n">
        <v>19</v>
      </c>
      <c r="B21" s="1" t="s">
        <v>66</v>
      </c>
      <c r="C21" s="1" t="n">
        <v>3</v>
      </c>
      <c r="D21" s="1" t="n">
        <v>3</v>
      </c>
      <c r="E21" s="1" t="n">
        <v>1</v>
      </c>
      <c r="F21" s="1" t="n">
        <v>1</v>
      </c>
      <c r="G21" s="1" t="s">
        <v>23</v>
      </c>
      <c r="H21" s="1" t="n">
        <f aca="false">H20/E21</f>
        <v>28</v>
      </c>
      <c r="I21" s="1" t="n">
        <f aca="false">I20/F21</f>
        <v>28</v>
      </c>
      <c r="J21" s="1" t="n">
        <f aca="false">J20</f>
        <v>128</v>
      </c>
      <c r="K21" s="3" t="n">
        <f aca="false">H21*I21*J21</f>
        <v>100352</v>
      </c>
      <c r="L21" s="3" t="n">
        <f aca="false">C21*D21*J20*J21</f>
        <v>147456</v>
      </c>
      <c r="M21" s="3" t="n">
        <f aca="false">L21*H21*I21</f>
        <v>115605504</v>
      </c>
      <c r="N21" s="4" t="n">
        <f aca="false">M21/M$55</f>
        <v>0.0315537752397222</v>
      </c>
    </row>
    <row r="22" customFormat="false" ht="12.8" hidden="false" customHeight="false" outlineLevel="0" collapsed="false">
      <c r="A22" s="1" t="n">
        <v>20</v>
      </c>
      <c r="B22" s="1" t="s">
        <v>67</v>
      </c>
      <c r="C22" s="0"/>
      <c r="D22" s="0"/>
      <c r="E22" s="1" t="n">
        <v>1</v>
      </c>
      <c r="F22" s="1" t="n">
        <v>1</v>
      </c>
      <c r="G22" s="1" t="s">
        <v>23</v>
      </c>
      <c r="H22" s="1" t="n">
        <f aca="false">H21/E22</f>
        <v>28</v>
      </c>
      <c r="I22" s="1" t="n">
        <f aca="false">I21/F22</f>
        <v>28</v>
      </c>
      <c r="J22" s="1" t="n">
        <f aca="false">J21</f>
        <v>128</v>
      </c>
      <c r="K22" s="3" t="n">
        <f aca="false">H22*I22*J22</f>
        <v>100352</v>
      </c>
      <c r="L22" s="3"/>
      <c r="M22" s="3"/>
      <c r="N22" s="4"/>
    </row>
    <row r="23" customFormat="false" ht="12.8" hidden="false" customHeight="false" outlineLevel="0" collapsed="false">
      <c r="A23" s="1" t="n">
        <v>21</v>
      </c>
      <c r="B23" s="1" t="s">
        <v>68</v>
      </c>
      <c r="C23" s="1" t="n">
        <v>3</v>
      </c>
      <c r="D23" s="1" t="n">
        <v>3</v>
      </c>
      <c r="E23" s="1" t="n">
        <v>1</v>
      </c>
      <c r="F23" s="1" t="n">
        <v>1</v>
      </c>
      <c r="G23" s="1" t="s">
        <v>23</v>
      </c>
      <c r="H23" s="1" t="n">
        <f aca="false">H22/E23</f>
        <v>28</v>
      </c>
      <c r="I23" s="1" t="n">
        <f aca="false">I22/F23</f>
        <v>28</v>
      </c>
      <c r="J23" s="1" t="n">
        <f aca="false">J22</f>
        <v>128</v>
      </c>
      <c r="K23" s="3" t="n">
        <f aca="false">H23*I23*J23</f>
        <v>100352</v>
      </c>
      <c r="L23" s="3" t="n">
        <f aca="false">C23*D23*J22*J23</f>
        <v>147456</v>
      </c>
      <c r="M23" s="3" t="n">
        <f aca="false">L23*H23*I23</f>
        <v>115605504</v>
      </c>
      <c r="N23" s="4" t="n">
        <f aca="false">M23/M$55</f>
        <v>0.0315537752397222</v>
      </c>
    </row>
    <row r="24" customFormat="false" ht="12.8" hidden="false" customHeight="false" outlineLevel="0" collapsed="false">
      <c r="A24" s="1" t="n">
        <v>22</v>
      </c>
      <c r="B24" s="1" t="s">
        <v>69</v>
      </c>
      <c r="C24" s="1" t="n">
        <v>3</v>
      </c>
      <c r="D24" s="1" t="n">
        <v>3</v>
      </c>
      <c r="E24" s="1" t="n">
        <v>1</v>
      </c>
      <c r="F24" s="1" t="n">
        <v>1</v>
      </c>
      <c r="G24" s="1" t="s">
        <v>23</v>
      </c>
      <c r="H24" s="1" t="n">
        <f aca="false">H23/E24</f>
        <v>28</v>
      </c>
      <c r="I24" s="1" t="n">
        <f aca="false">I23/F24</f>
        <v>28</v>
      </c>
      <c r="J24" s="1" t="n">
        <f aca="false">J23</f>
        <v>128</v>
      </c>
      <c r="K24" s="3" t="n">
        <f aca="false">H24*I24*J24</f>
        <v>100352</v>
      </c>
      <c r="L24" s="3" t="n">
        <f aca="false">C24*D24*J23*J24</f>
        <v>147456</v>
      </c>
      <c r="M24" s="3" t="n">
        <f aca="false">L24*H24*I24</f>
        <v>115605504</v>
      </c>
      <c r="N24" s="4" t="n">
        <f aca="false">M24/M$55</f>
        <v>0.0315537752397222</v>
      </c>
    </row>
    <row r="25" customFormat="false" ht="12.8" hidden="false" customHeight="false" outlineLevel="0" collapsed="false">
      <c r="A25" s="1" t="n">
        <v>23</v>
      </c>
      <c r="B25" s="1" t="s">
        <v>70</v>
      </c>
      <c r="C25" s="0"/>
      <c r="D25" s="0"/>
      <c r="E25" s="1" t="n">
        <v>1</v>
      </c>
      <c r="F25" s="1" t="n">
        <v>1</v>
      </c>
      <c r="G25" s="1" t="s">
        <v>23</v>
      </c>
      <c r="H25" s="1" t="n">
        <f aca="false">H24/E25</f>
        <v>28</v>
      </c>
      <c r="I25" s="1" t="n">
        <f aca="false">I24/F25</f>
        <v>28</v>
      </c>
      <c r="J25" s="1" t="n">
        <f aca="false">J24</f>
        <v>128</v>
      </c>
      <c r="K25" s="3" t="n">
        <f aca="false">H25*I25*J25</f>
        <v>100352</v>
      </c>
      <c r="L25" s="3"/>
      <c r="M25" s="3"/>
      <c r="N25" s="4"/>
    </row>
    <row r="26" customFormat="false" ht="12.8" hidden="false" customHeight="false" outlineLevel="0" collapsed="false">
      <c r="A26" s="1" t="n">
        <v>24</v>
      </c>
      <c r="B26" s="1" t="s">
        <v>71</v>
      </c>
      <c r="C26" s="1" t="n">
        <v>3</v>
      </c>
      <c r="D26" s="1" t="n">
        <v>3</v>
      </c>
      <c r="E26" s="1" t="n">
        <v>2</v>
      </c>
      <c r="F26" s="1" t="n">
        <v>2</v>
      </c>
      <c r="G26" s="1" t="s">
        <v>23</v>
      </c>
      <c r="H26" s="1" t="n">
        <f aca="false">H25/E26</f>
        <v>14</v>
      </c>
      <c r="I26" s="1" t="n">
        <f aca="false">I25/F26</f>
        <v>14</v>
      </c>
      <c r="J26" s="1" t="n">
        <v>256</v>
      </c>
      <c r="K26" s="3" t="n">
        <f aca="false">H26*I26*J26</f>
        <v>50176</v>
      </c>
      <c r="L26" s="3" t="n">
        <f aca="false">C26*D26*J25*J26</f>
        <v>294912</v>
      </c>
      <c r="M26" s="3" t="n">
        <f aca="false">L26*H26*I26</f>
        <v>57802752</v>
      </c>
      <c r="N26" s="4" t="n">
        <f aca="false">M26/M$55</f>
        <v>0.0157768876198611</v>
      </c>
    </row>
    <row r="27" customFormat="false" ht="12.8" hidden="false" customHeight="false" outlineLevel="0" collapsed="false">
      <c r="A27" s="1" t="n">
        <v>25</v>
      </c>
      <c r="B27" s="1" t="s">
        <v>72</v>
      </c>
      <c r="C27" s="1" t="n">
        <v>3</v>
      </c>
      <c r="D27" s="1" t="n">
        <v>3</v>
      </c>
      <c r="E27" s="1" t="n">
        <v>1</v>
      </c>
      <c r="F27" s="1" t="n">
        <v>1</v>
      </c>
      <c r="G27" s="1" t="s">
        <v>23</v>
      </c>
      <c r="H27" s="1" t="n">
        <f aca="false">H26/E27</f>
        <v>14</v>
      </c>
      <c r="I27" s="1" t="n">
        <f aca="false">I26/F27</f>
        <v>14</v>
      </c>
      <c r="J27" s="1" t="n">
        <f aca="false">J26</f>
        <v>256</v>
      </c>
      <c r="K27" s="3" t="n">
        <f aca="false">H27*I27*J27</f>
        <v>50176</v>
      </c>
      <c r="L27" s="3" t="n">
        <f aca="false">C27*D27*J26*J27</f>
        <v>589824</v>
      </c>
      <c r="M27" s="3" t="n">
        <f aca="false">L27*H27*I27</f>
        <v>115605504</v>
      </c>
      <c r="N27" s="4" t="n">
        <f aca="false">M27/M$55</f>
        <v>0.0315537752397222</v>
      </c>
    </row>
    <row r="28" customFormat="false" ht="12.8" hidden="false" customHeight="false" outlineLevel="0" collapsed="false">
      <c r="A28" s="1" t="n">
        <v>26</v>
      </c>
      <c r="B28" s="1" t="s">
        <v>73</v>
      </c>
      <c r="C28" s="1" t="n">
        <v>1</v>
      </c>
      <c r="D28" s="1" t="n">
        <v>1</v>
      </c>
      <c r="E28" s="1" t="n">
        <v>2</v>
      </c>
      <c r="F28" s="1" t="n">
        <v>2</v>
      </c>
      <c r="G28" s="1" t="s">
        <v>23</v>
      </c>
      <c r="H28" s="1" t="n">
        <f aca="false">H25/E28</f>
        <v>14</v>
      </c>
      <c r="I28" s="1" t="n">
        <f aca="false">I25/F28</f>
        <v>14</v>
      </c>
      <c r="J28" s="1" t="n">
        <f aca="false">J27</f>
        <v>256</v>
      </c>
      <c r="K28" s="3" t="n">
        <f aca="false">H28*I28*J28</f>
        <v>50176</v>
      </c>
      <c r="L28" s="3" t="n">
        <f aca="false">C28*D28*J25*J28</f>
        <v>32768</v>
      </c>
      <c r="M28" s="3" t="n">
        <f aca="false">L28*H28*I28</f>
        <v>6422528</v>
      </c>
      <c r="N28" s="4" t="n">
        <f aca="false">M28/M$55</f>
        <v>0.0017529875133179</v>
      </c>
    </row>
    <row r="29" customFormat="false" ht="12.8" hidden="false" customHeight="false" outlineLevel="0" collapsed="false">
      <c r="A29" s="1" t="n">
        <v>27</v>
      </c>
      <c r="B29" s="1" t="s">
        <v>74</v>
      </c>
      <c r="C29" s="1" t="n">
        <v>3</v>
      </c>
      <c r="D29" s="1" t="n">
        <v>3</v>
      </c>
      <c r="E29" s="1" t="n">
        <v>1</v>
      </c>
      <c r="F29" s="1" t="n">
        <v>1</v>
      </c>
      <c r="G29" s="1" t="s">
        <v>23</v>
      </c>
      <c r="H29" s="1" t="n">
        <f aca="false">H28/E29</f>
        <v>14</v>
      </c>
      <c r="I29" s="1" t="n">
        <f aca="false">I28/F29</f>
        <v>14</v>
      </c>
      <c r="J29" s="1" t="n">
        <f aca="false">J28</f>
        <v>256</v>
      </c>
      <c r="K29" s="3" t="n">
        <f aca="false">H29*I29*J29</f>
        <v>50176</v>
      </c>
      <c r="L29" s="3" t="n">
        <f aca="false">C29*D29*J28*J29</f>
        <v>589824</v>
      </c>
      <c r="M29" s="3" t="n">
        <f aca="false">L29*H29*I29</f>
        <v>115605504</v>
      </c>
      <c r="N29" s="4" t="n">
        <f aca="false">M29/M$55</f>
        <v>0.0315537752397222</v>
      </c>
    </row>
    <row r="30" customFormat="false" ht="12.8" hidden="false" customHeight="false" outlineLevel="0" collapsed="false">
      <c r="A30" s="1" t="n">
        <v>28</v>
      </c>
      <c r="B30" s="1" t="s">
        <v>75</v>
      </c>
      <c r="C30" s="1" t="n">
        <v>3</v>
      </c>
      <c r="D30" s="1" t="n">
        <v>3</v>
      </c>
      <c r="E30" s="1" t="n">
        <v>1</v>
      </c>
      <c r="F30" s="1" t="n">
        <v>1</v>
      </c>
      <c r="G30" s="1" t="s">
        <v>23</v>
      </c>
      <c r="H30" s="1" t="n">
        <f aca="false">H29/E30</f>
        <v>14</v>
      </c>
      <c r="I30" s="1" t="n">
        <f aca="false">I29/F30</f>
        <v>14</v>
      </c>
      <c r="J30" s="1" t="n">
        <f aca="false">J29</f>
        <v>256</v>
      </c>
      <c r="K30" s="3" t="n">
        <f aca="false">H30*I30*J30</f>
        <v>50176</v>
      </c>
      <c r="L30" s="3" t="n">
        <f aca="false">C30*D30*J29*J30</f>
        <v>589824</v>
      </c>
      <c r="M30" s="3" t="n">
        <f aca="false">L30*H30*I30</f>
        <v>115605504</v>
      </c>
      <c r="N30" s="4" t="n">
        <f aca="false">M30/M$55</f>
        <v>0.0315537752397222</v>
      </c>
    </row>
    <row r="31" customFormat="false" ht="12.8" hidden="false" customHeight="false" outlineLevel="0" collapsed="false">
      <c r="A31" s="1" t="n">
        <v>29</v>
      </c>
      <c r="B31" s="1" t="s">
        <v>76</v>
      </c>
      <c r="C31" s="0"/>
      <c r="D31" s="0"/>
      <c r="E31" s="1" t="n">
        <v>1</v>
      </c>
      <c r="F31" s="1" t="n">
        <v>1</v>
      </c>
      <c r="G31" s="1" t="s">
        <v>23</v>
      </c>
      <c r="H31" s="1" t="n">
        <f aca="false">H30/E31</f>
        <v>14</v>
      </c>
      <c r="I31" s="1" t="n">
        <f aca="false">I30/F31</f>
        <v>14</v>
      </c>
      <c r="J31" s="1" t="n">
        <f aca="false">J30</f>
        <v>256</v>
      </c>
      <c r="K31" s="3" t="n">
        <f aca="false">H31*I31*J31</f>
        <v>50176</v>
      </c>
      <c r="L31" s="3"/>
      <c r="M31" s="3"/>
      <c r="N31" s="4"/>
    </row>
    <row r="32" customFormat="false" ht="12.8" hidden="false" customHeight="false" outlineLevel="0" collapsed="false">
      <c r="A32" s="1" t="n">
        <v>30</v>
      </c>
      <c r="B32" s="1" t="s">
        <v>77</v>
      </c>
      <c r="C32" s="1" t="n">
        <v>3</v>
      </c>
      <c r="D32" s="1" t="n">
        <v>3</v>
      </c>
      <c r="E32" s="1" t="n">
        <v>1</v>
      </c>
      <c r="F32" s="1" t="n">
        <v>1</v>
      </c>
      <c r="G32" s="1" t="s">
        <v>23</v>
      </c>
      <c r="H32" s="1" t="n">
        <f aca="false">H31/E32</f>
        <v>14</v>
      </c>
      <c r="I32" s="1" t="n">
        <f aca="false">I31/F32</f>
        <v>14</v>
      </c>
      <c r="J32" s="1" t="n">
        <f aca="false">J31</f>
        <v>256</v>
      </c>
      <c r="K32" s="3" t="n">
        <f aca="false">H32*I32*J32</f>
        <v>50176</v>
      </c>
      <c r="L32" s="3" t="n">
        <f aca="false">C32*D32*J31*J32</f>
        <v>589824</v>
      </c>
      <c r="M32" s="3" t="n">
        <f aca="false">L32*H32*I32</f>
        <v>115605504</v>
      </c>
      <c r="N32" s="4" t="n">
        <f aca="false">M32/M$55</f>
        <v>0.0315537752397222</v>
      </c>
    </row>
    <row r="33" customFormat="false" ht="12.8" hidden="false" customHeight="false" outlineLevel="0" collapsed="false">
      <c r="A33" s="1" t="n">
        <v>31</v>
      </c>
      <c r="B33" s="1" t="s">
        <v>78</v>
      </c>
      <c r="C33" s="1" t="n">
        <v>3</v>
      </c>
      <c r="D33" s="1" t="n">
        <v>3</v>
      </c>
      <c r="E33" s="1" t="n">
        <v>1</v>
      </c>
      <c r="F33" s="1" t="n">
        <v>1</v>
      </c>
      <c r="G33" s="1" t="s">
        <v>23</v>
      </c>
      <c r="H33" s="1" t="n">
        <f aca="false">H32/E33</f>
        <v>14</v>
      </c>
      <c r="I33" s="1" t="n">
        <f aca="false">I32/F33</f>
        <v>14</v>
      </c>
      <c r="J33" s="1" t="n">
        <f aca="false">J32</f>
        <v>256</v>
      </c>
      <c r="K33" s="3" t="n">
        <f aca="false">H33*I33*J33</f>
        <v>50176</v>
      </c>
      <c r="L33" s="3" t="n">
        <f aca="false">C33*D33*J32*J33</f>
        <v>589824</v>
      </c>
      <c r="M33" s="3" t="n">
        <f aca="false">L33*H33*I33</f>
        <v>115605504</v>
      </c>
      <c r="N33" s="4" t="n">
        <f aca="false">M33/M$55</f>
        <v>0.0315537752397222</v>
      </c>
    </row>
    <row r="34" customFormat="false" ht="12.8" hidden="false" customHeight="false" outlineLevel="0" collapsed="false">
      <c r="A34" s="1" t="n">
        <v>32</v>
      </c>
      <c r="B34" s="1" t="s">
        <v>79</v>
      </c>
      <c r="C34" s="0"/>
      <c r="D34" s="0"/>
      <c r="E34" s="1" t="n">
        <v>1</v>
      </c>
      <c r="F34" s="1" t="n">
        <v>1</v>
      </c>
      <c r="G34" s="1" t="s">
        <v>23</v>
      </c>
      <c r="H34" s="1" t="n">
        <f aca="false">H33/E34</f>
        <v>14</v>
      </c>
      <c r="I34" s="1" t="n">
        <f aca="false">I33/F34</f>
        <v>14</v>
      </c>
      <c r="J34" s="1" t="n">
        <f aca="false">J33</f>
        <v>256</v>
      </c>
      <c r="K34" s="3" t="n">
        <f aca="false">H34*I34*J34</f>
        <v>50176</v>
      </c>
      <c r="L34" s="3"/>
      <c r="M34" s="3"/>
      <c r="N34" s="4"/>
    </row>
    <row r="35" customFormat="false" ht="12.8" hidden="false" customHeight="false" outlineLevel="0" collapsed="false">
      <c r="A35" s="1" t="n">
        <v>33</v>
      </c>
      <c r="B35" s="1" t="s">
        <v>80</v>
      </c>
      <c r="C35" s="1" t="n">
        <v>3</v>
      </c>
      <c r="D35" s="1" t="n">
        <v>3</v>
      </c>
      <c r="E35" s="1" t="n">
        <v>1</v>
      </c>
      <c r="F35" s="1" t="n">
        <v>1</v>
      </c>
      <c r="G35" s="1" t="s">
        <v>23</v>
      </c>
      <c r="H35" s="1" t="n">
        <f aca="false">H34/E35</f>
        <v>14</v>
      </c>
      <c r="I35" s="1" t="n">
        <f aca="false">I34/F35</f>
        <v>14</v>
      </c>
      <c r="J35" s="1" t="n">
        <f aca="false">J34</f>
        <v>256</v>
      </c>
      <c r="K35" s="3" t="n">
        <f aca="false">H35*I35*J35</f>
        <v>50176</v>
      </c>
      <c r="L35" s="3" t="n">
        <f aca="false">C35*D35*J34*J35</f>
        <v>589824</v>
      </c>
      <c r="M35" s="3" t="n">
        <f aca="false">L35*H35*I35</f>
        <v>115605504</v>
      </c>
      <c r="N35" s="4" t="n">
        <f aca="false">M35/M$55</f>
        <v>0.0315537752397222</v>
      </c>
    </row>
    <row r="36" customFormat="false" ht="12.8" hidden="false" customHeight="false" outlineLevel="0" collapsed="false">
      <c r="A36" s="1" t="n">
        <v>34</v>
      </c>
      <c r="B36" s="1" t="s">
        <v>81</v>
      </c>
      <c r="C36" s="1" t="n">
        <v>3</v>
      </c>
      <c r="D36" s="1" t="n">
        <v>3</v>
      </c>
      <c r="E36" s="1" t="n">
        <v>1</v>
      </c>
      <c r="F36" s="1" t="n">
        <v>1</v>
      </c>
      <c r="G36" s="1" t="s">
        <v>23</v>
      </c>
      <c r="H36" s="1" t="n">
        <f aca="false">H35/E36</f>
        <v>14</v>
      </c>
      <c r="I36" s="1" t="n">
        <f aca="false">I35/F36</f>
        <v>14</v>
      </c>
      <c r="J36" s="1" t="n">
        <f aca="false">J35</f>
        <v>256</v>
      </c>
      <c r="K36" s="3" t="n">
        <f aca="false">H36*I36*J36</f>
        <v>50176</v>
      </c>
      <c r="L36" s="3" t="n">
        <f aca="false">C36*D36*J35*J36</f>
        <v>589824</v>
      </c>
      <c r="M36" s="3" t="n">
        <f aca="false">L36*H36*I36</f>
        <v>115605504</v>
      </c>
      <c r="N36" s="4" t="n">
        <f aca="false">M36/M$55</f>
        <v>0.0315537752397222</v>
      </c>
    </row>
    <row r="37" customFormat="false" ht="12.8" hidden="false" customHeight="false" outlineLevel="0" collapsed="false">
      <c r="A37" s="1" t="n">
        <v>35</v>
      </c>
      <c r="B37" s="1" t="s">
        <v>82</v>
      </c>
      <c r="C37" s="0"/>
      <c r="D37" s="0"/>
      <c r="E37" s="1" t="n">
        <v>1</v>
      </c>
      <c r="F37" s="1" t="n">
        <v>1</v>
      </c>
      <c r="G37" s="1" t="s">
        <v>23</v>
      </c>
      <c r="H37" s="1" t="n">
        <f aca="false">H36/E37</f>
        <v>14</v>
      </c>
      <c r="I37" s="1" t="n">
        <f aca="false">I36/F37</f>
        <v>14</v>
      </c>
      <c r="J37" s="1" t="n">
        <f aca="false">J36</f>
        <v>256</v>
      </c>
      <c r="K37" s="3" t="n">
        <f aca="false">H37*I37*J37</f>
        <v>50176</v>
      </c>
      <c r="L37" s="3"/>
      <c r="M37" s="3"/>
      <c r="N37" s="4"/>
    </row>
    <row r="38" customFormat="false" ht="12.8" hidden="false" customHeight="false" outlineLevel="0" collapsed="false">
      <c r="A38" s="1" t="n">
        <v>36</v>
      </c>
      <c r="B38" s="1" t="s">
        <v>83</v>
      </c>
      <c r="C38" s="1" t="n">
        <v>3</v>
      </c>
      <c r="D38" s="1" t="n">
        <v>3</v>
      </c>
      <c r="E38" s="1" t="n">
        <v>1</v>
      </c>
      <c r="F38" s="1" t="n">
        <v>1</v>
      </c>
      <c r="G38" s="1" t="s">
        <v>23</v>
      </c>
      <c r="H38" s="1" t="n">
        <f aca="false">H37/E38</f>
        <v>14</v>
      </c>
      <c r="I38" s="1" t="n">
        <f aca="false">I37/F38</f>
        <v>14</v>
      </c>
      <c r="J38" s="1" t="n">
        <f aca="false">J37</f>
        <v>256</v>
      </c>
      <c r="K38" s="3" t="n">
        <f aca="false">H38*I38*J38</f>
        <v>50176</v>
      </c>
      <c r="L38" s="3" t="n">
        <f aca="false">C38*D38*J37*J38</f>
        <v>589824</v>
      </c>
      <c r="M38" s="3" t="n">
        <f aca="false">L38*H38*I38</f>
        <v>115605504</v>
      </c>
      <c r="N38" s="4" t="n">
        <f aca="false">M38/M$55</f>
        <v>0.0315537752397222</v>
      </c>
    </row>
    <row r="39" customFormat="false" ht="12.8" hidden="false" customHeight="false" outlineLevel="0" collapsed="false">
      <c r="A39" s="1" t="n">
        <v>37</v>
      </c>
      <c r="B39" s="1" t="s">
        <v>84</v>
      </c>
      <c r="C39" s="1" t="n">
        <v>3</v>
      </c>
      <c r="D39" s="1" t="n">
        <v>3</v>
      </c>
      <c r="E39" s="1" t="n">
        <v>1</v>
      </c>
      <c r="F39" s="1" t="n">
        <v>1</v>
      </c>
      <c r="G39" s="1" t="s">
        <v>23</v>
      </c>
      <c r="H39" s="1" t="n">
        <f aca="false">H38/E39</f>
        <v>14</v>
      </c>
      <c r="I39" s="1" t="n">
        <f aca="false">I38/F39</f>
        <v>14</v>
      </c>
      <c r="J39" s="1" t="n">
        <f aca="false">J38</f>
        <v>256</v>
      </c>
      <c r="K39" s="3" t="n">
        <f aca="false">H39*I39*J39</f>
        <v>50176</v>
      </c>
      <c r="L39" s="3" t="n">
        <f aca="false">C39*D39*J38*J39</f>
        <v>589824</v>
      </c>
      <c r="M39" s="3" t="n">
        <f aca="false">L39*H39*I39</f>
        <v>115605504</v>
      </c>
      <c r="N39" s="4" t="n">
        <f aca="false">M39/M$55</f>
        <v>0.0315537752397222</v>
      </c>
    </row>
    <row r="40" customFormat="false" ht="12.8" hidden="false" customHeight="false" outlineLevel="0" collapsed="false">
      <c r="A40" s="1" t="n">
        <v>38</v>
      </c>
      <c r="B40" s="1" t="s">
        <v>85</v>
      </c>
      <c r="C40" s="0"/>
      <c r="D40" s="0"/>
      <c r="E40" s="1" t="n">
        <v>1</v>
      </c>
      <c r="F40" s="1" t="n">
        <v>1</v>
      </c>
      <c r="G40" s="1" t="s">
        <v>23</v>
      </c>
      <c r="H40" s="1" t="n">
        <f aca="false">H39/E40</f>
        <v>14</v>
      </c>
      <c r="I40" s="1" t="n">
        <f aca="false">I39/F40</f>
        <v>14</v>
      </c>
      <c r="J40" s="1" t="n">
        <f aca="false">J39</f>
        <v>256</v>
      </c>
      <c r="K40" s="3" t="n">
        <f aca="false">H40*I40*J40</f>
        <v>50176</v>
      </c>
      <c r="L40" s="3"/>
      <c r="M40" s="3"/>
      <c r="N40" s="4"/>
    </row>
    <row r="41" customFormat="false" ht="12.8" hidden="false" customHeight="false" outlineLevel="0" collapsed="false">
      <c r="A41" s="1" t="n">
        <v>39</v>
      </c>
      <c r="B41" s="1" t="s">
        <v>86</v>
      </c>
      <c r="C41" s="1" t="n">
        <v>3</v>
      </c>
      <c r="D41" s="1" t="n">
        <v>3</v>
      </c>
      <c r="E41" s="1" t="n">
        <v>1</v>
      </c>
      <c r="F41" s="1" t="n">
        <v>1</v>
      </c>
      <c r="G41" s="1" t="s">
        <v>23</v>
      </c>
      <c r="H41" s="1" t="n">
        <f aca="false">H40/E41</f>
        <v>14</v>
      </c>
      <c r="I41" s="1" t="n">
        <f aca="false">I40/F41</f>
        <v>14</v>
      </c>
      <c r="J41" s="1" t="n">
        <f aca="false">J40</f>
        <v>256</v>
      </c>
      <c r="K41" s="3" t="n">
        <f aca="false">H41*I41*J41</f>
        <v>50176</v>
      </c>
      <c r="L41" s="3" t="n">
        <f aca="false">C41*D41*J40*J41</f>
        <v>589824</v>
      </c>
      <c r="M41" s="3" t="n">
        <f aca="false">L41*H41*I41</f>
        <v>115605504</v>
      </c>
      <c r="N41" s="4" t="n">
        <f aca="false">M41/M$55</f>
        <v>0.0315537752397222</v>
      </c>
    </row>
    <row r="42" customFormat="false" ht="12.8" hidden="false" customHeight="false" outlineLevel="0" collapsed="false">
      <c r="A42" s="1" t="n">
        <v>40</v>
      </c>
      <c r="B42" s="1" t="s">
        <v>87</v>
      </c>
      <c r="C42" s="1" t="n">
        <v>3</v>
      </c>
      <c r="D42" s="1" t="n">
        <v>3</v>
      </c>
      <c r="E42" s="1" t="n">
        <v>1</v>
      </c>
      <c r="F42" s="1" t="n">
        <v>1</v>
      </c>
      <c r="G42" s="1" t="s">
        <v>23</v>
      </c>
      <c r="H42" s="1" t="n">
        <f aca="false">H41/E42</f>
        <v>14</v>
      </c>
      <c r="I42" s="1" t="n">
        <f aca="false">I41/F42</f>
        <v>14</v>
      </c>
      <c r="J42" s="1" t="n">
        <f aca="false">J41</f>
        <v>256</v>
      </c>
      <c r="K42" s="3" t="n">
        <f aca="false">H42*I42*J42</f>
        <v>50176</v>
      </c>
      <c r="L42" s="3" t="n">
        <f aca="false">C42*D42*J41*J42</f>
        <v>589824</v>
      </c>
      <c r="M42" s="3" t="n">
        <f aca="false">L42*H42*I42</f>
        <v>115605504</v>
      </c>
      <c r="N42" s="4" t="n">
        <f aca="false">M42/M$55</f>
        <v>0.0315537752397222</v>
      </c>
    </row>
    <row r="43" customFormat="false" ht="12.8" hidden="false" customHeight="false" outlineLevel="0" collapsed="false">
      <c r="A43" s="1" t="n">
        <v>41</v>
      </c>
      <c r="B43" s="1" t="s">
        <v>88</v>
      </c>
      <c r="C43" s="0"/>
      <c r="D43" s="0"/>
      <c r="E43" s="1" t="n">
        <v>1</v>
      </c>
      <c r="F43" s="1" t="n">
        <v>1</v>
      </c>
      <c r="G43" s="1" t="s">
        <v>23</v>
      </c>
      <c r="H43" s="1" t="n">
        <f aca="false">H42/E43</f>
        <v>14</v>
      </c>
      <c r="I43" s="1" t="n">
        <f aca="false">I42/F43</f>
        <v>14</v>
      </c>
      <c r="J43" s="1" t="n">
        <f aca="false">J42</f>
        <v>256</v>
      </c>
      <c r="K43" s="3" t="n">
        <f aca="false">H43*I43*J43</f>
        <v>50176</v>
      </c>
      <c r="L43" s="3"/>
      <c r="M43" s="3"/>
      <c r="N43" s="4"/>
    </row>
    <row r="44" customFormat="false" ht="12.8" hidden="false" customHeight="false" outlineLevel="0" collapsed="false">
      <c r="A44" s="1" t="n">
        <v>42</v>
      </c>
      <c r="B44" s="1" t="s">
        <v>89</v>
      </c>
      <c r="C44" s="1" t="n">
        <v>3</v>
      </c>
      <c r="D44" s="1" t="n">
        <v>3</v>
      </c>
      <c r="E44" s="1" t="n">
        <v>2</v>
      </c>
      <c r="F44" s="1" t="n">
        <v>2</v>
      </c>
      <c r="G44" s="1" t="s">
        <v>23</v>
      </c>
      <c r="H44" s="1" t="n">
        <f aca="false">H43/E44</f>
        <v>7</v>
      </c>
      <c r="I44" s="1" t="n">
        <f aca="false">I43/F44</f>
        <v>7</v>
      </c>
      <c r="J44" s="1" t="n">
        <v>512</v>
      </c>
      <c r="K44" s="3" t="n">
        <f aca="false">H44*I44*J44</f>
        <v>25088</v>
      </c>
      <c r="L44" s="3" t="n">
        <f aca="false">C44*D44*J43*J44</f>
        <v>1179648</v>
      </c>
      <c r="M44" s="3" t="n">
        <f aca="false">L44*H44*I44</f>
        <v>57802752</v>
      </c>
      <c r="N44" s="4" t="n">
        <f aca="false">M44/M$55</f>
        <v>0.0157768876198611</v>
      </c>
    </row>
    <row r="45" customFormat="false" ht="12.8" hidden="false" customHeight="false" outlineLevel="0" collapsed="false">
      <c r="A45" s="1" t="n">
        <v>43</v>
      </c>
      <c r="B45" s="1" t="s">
        <v>90</v>
      </c>
      <c r="C45" s="1" t="n">
        <v>3</v>
      </c>
      <c r="D45" s="1" t="n">
        <v>3</v>
      </c>
      <c r="E45" s="1" t="n">
        <v>1</v>
      </c>
      <c r="F45" s="1" t="n">
        <v>1</v>
      </c>
      <c r="G45" s="1" t="s">
        <v>23</v>
      </c>
      <c r="H45" s="1" t="n">
        <f aca="false">H44/E45</f>
        <v>7</v>
      </c>
      <c r="I45" s="1" t="n">
        <f aca="false">I44/F45</f>
        <v>7</v>
      </c>
      <c r="J45" s="1" t="n">
        <f aca="false">J44</f>
        <v>512</v>
      </c>
      <c r="K45" s="3" t="n">
        <f aca="false">H45*I45*J45</f>
        <v>25088</v>
      </c>
      <c r="L45" s="3" t="n">
        <f aca="false">C45*D45*J44*J45</f>
        <v>2359296</v>
      </c>
      <c r="M45" s="3" t="n">
        <f aca="false">L45*H45*I45</f>
        <v>115605504</v>
      </c>
      <c r="N45" s="4" t="n">
        <f aca="false">M45/M$55</f>
        <v>0.0315537752397222</v>
      </c>
    </row>
    <row r="46" customFormat="false" ht="12.8" hidden="false" customHeight="false" outlineLevel="0" collapsed="false">
      <c r="A46" s="1" t="n">
        <v>44</v>
      </c>
      <c r="B46" s="1" t="s">
        <v>91</v>
      </c>
      <c r="C46" s="1" t="n">
        <v>1</v>
      </c>
      <c r="D46" s="1" t="n">
        <v>1</v>
      </c>
      <c r="E46" s="1" t="n">
        <v>2</v>
      </c>
      <c r="F46" s="1" t="n">
        <v>2</v>
      </c>
      <c r="G46" s="1" t="s">
        <v>23</v>
      </c>
      <c r="H46" s="1" t="n">
        <f aca="false">H43/E46</f>
        <v>7</v>
      </c>
      <c r="I46" s="1" t="n">
        <f aca="false">I43/F46</f>
        <v>7</v>
      </c>
      <c r="J46" s="1" t="n">
        <f aca="false">J45</f>
        <v>512</v>
      </c>
      <c r="K46" s="3" t="n">
        <f aca="false">H46*I46*J46</f>
        <v>25088</v>
      </c>
      <c r="L46" s="3" t="n">
        <f aca="false">C46*D46*J43*J46</f>
        <v>131072</v>
      </c>
      <c r="M46" s="3" t="n">
        <f aca="false">L46*H46*I46</f>
        <v>6422528</v>
      </c>
      <c r="N46" s="4" t="n">
        <f aca="false">M46/M$55</f>
        <v>0.0017529875133179</v>
      </c>
    </row>
    <row r="47" customFormat="false" ht="12.8" hidden="false" customHeight="false" outlineLevel="0" collapsed="false">
      <c r="A47" s="1" t="n">
        <v>45</v>
      </c>
      <c r="B47" s="1" t="s">
        <v>92</v>
      </c>
      <c r="C47" s="1" t="n">
        <v>3</v>
      </c>
      <c r="D47" s="1" t="n">
        <v>3</v>
      </c>
      <c r="E47" s="1" t="n">
        <v>1</v>
      </c>
      <c r="F47" s="1" t="n">
        <v>1</v>
      </c>
      <c r="G47" s="1" t="s">
        <v>23</v>
      </c>
      <c r="H47" s="1" t="n">
        <f aca="false">H46/E47</f>
        <v>7</v>
      </c>
      <c r="I47" s="1" t="n">
        <f aca="false">I46/F47</f>
        <v>7</v>
      </c>
      <c r="J47" s="1" t="n">
        <f aca="false">J46</f>
        <v>512</v>
      </c>
      <c r="K47" s="3" t="n">
        <f aca="false">H47*I47*J47</f>
        <v>25088</v>
      </c>
      <c r="L47" s="3" t="n">
        <f aca="false">C47*D47*J46*J47</f>
        <v>2359296</v>
      </c>
      <c r="M47" s="3" t="n">
        <f aca="false">L47*H47*I47</f>
        <v>115605504</v>
      </c>
      <c r="N47" s="4" t="n">
        <f aca="false">M47/M$55</f>
        <v>0.0315537752397222</v>
      </c>
    </row>
    <row r="48" customFormat="false" ht="12.8" hidden="false" customHeight="false" outlineLevel="0" collapsed="false">
      <c r="A48" s="1" t="n">
        <v>46</v>
      </c>
      <c r="B48" s="1" t="s">
        <v>93</v>
      </c>
      <c r="C48" s="1" t="n">
        <v>3</v>
      </c>
      <c r="D48" s="1" t="n">
        <v>3</v>
      </c>
      <c r="E48" s="1" t="n">
        <v>1</v>
      </c>
      <c r="F48" s="1" t="n">
        <v>1</v>
      </c>
      <c r="G48" s="1" t="s">
        <v>23</v>
      </c>
      <c r="H48" s="1" t="n">
        <f aca="false">H47/E48</f>
        <v>7</v>
      </c>
      <c r="I48" s="1" t="n">
        <f aca="false">I47/F48</f>
        <v>7</v>
      </c>
      <c r="J48" s="1" t="n">
        <f aca="false">J47</f>
        <v>512</v>
      </c>
      <c r="K48" s="3" t="n">
        <f aca="false">H48*I48*J48</f>
        <v>25088</v>
      </c>
      <c r="L48" s="3" t="n">
        <f aca="false">C48*D48*J47*J48</f>
        <v>2359296</v>
      </c>
      <c r="M48" s="3" t="n">
        <f aca="false">L48*H48*I48</f>
        <v>115605504</v>
      </c>
      <c r="N48" s="4" t="n">
        <f aca="false">M48/M$55</f>
        <v>0.0315537752397222</v>
      </c>
    </row>
    <row r="49" customFormat="false" ht="12.8" hidden="false" customHeight="false" outlineLevel="0" collapsed="false">
      <c r="A49" s="1" t="n">
        <v>47</v>
      </c>
      <c r="B49" s="1" t="s">
        <v>94</v>
      </c>
      <c r="C49" s="0"/>
      <c r="D49" s="0"/>
      <c r="E49" s="1" t="n">
        <v>1</v>
      </c>
      <c r="F49" s="1" t="n">
        <v>1</v>
      </c>
      <c r="G49" s="1" t="s">
        <v>23</v>
      </c>
      <c r="H49" s="1" t="n">
        <f aca="false">H48/E49</f>
        <v>7</v>
      </c>
      <c r="I49" s="1" t="n">
        <f aca="false">I48/F49</f>
        <v>7</v>
      </c>
      <c r="J49" s="1" t="n">
        <f aca="false">J48</f>
        <v>512</v>
      </c>
      <c r="K49" s="3" t="n">
        <f aca="false">H49*I49*J49</f>
        <v>25088</v>
      </c>
      <c r="L49" s="3"/>
      <c r="M49" s="3"/>
      <c r="N49" s="4"/>
    </row>
    <row r="50" customFormat="false" ht="12.8" hidden="false" customHeight="false" outlineLevel="0" collapsed="false">
      <c r="A50" s="1" t="n">
        <v>48</v>
      </c>
      <c r="B50" s="1" t="s">
        <v>95</v>
      </c>
      <c r="C50" s="1" t="n">
        <v>3</v>
      </c>
      <c r="D50" s="1" t="n">
        <v>3</v>
      </c>
      <c r="E50" s="1" t="n">
        <v>1</v>
      </c>
      <c r="F50" s="1" t="n">
        <v>1</v>
      </c>
      <c r="G50" s="1" t="s">
        <v>23</v>
      </c>
      <c r="H50" s="1" t="n">
        <f aca="false">H49/E50</f>
        <v>7</v>
      </c>
      <c r="I50" s="1" t="n">
        <f aca="false">I49/F50</f>
        <v>7</v>
      </c>
      <c r="J50" s="1" t="n">
        <f aca="false">J49</f>
        <v>512</v>
      </c>
      <c r="K50" s="3" t="n">
        <f aca="false">H50*I50*J50</f>
        <v>25088</v>
      </c>
      <c r="L50" s="3" t="n">
        <f aca="false">C50*D50*J49*J50</f>
        <v>2359296</v>
      </c>
      <c r="M50" s="3" t="n">
        <f aca="false">L50*H50*I50</f>
        <v>115605504</v>
      </c>
      <c r="N50" s="4" t="n">
        <f aca="false">M50/M$55</f>
        <v>0.0315537752397222</v>
      </c>
    </row>
    <row r="51" customFormat="false" ht="12.8" hidden="false" customHeight="false" outlineLevel="0" collapsed="false">
      <c r="A51" s="1" t="n">
        <v>49</v>
      </c>
      <c r="B51" s="1" t="s">
        <v>96</v>
      </c>
      <c r="C51" s="1" t="n">
        <v>3</v>
      </c>
      <c r="D51" s="1" t="n">
        <v>3</v>
      </c>
      <c r="E51" s="1" t="n">
        <v>1</v>
      </c>
      <c r="F51" s="1" t="n">
        <v>1</v>
      </c>
      <c r="G51" s="1" t="s">
        <v>23</v>
      </c>
      <c r="H51" s="1" t="n">
        <f aca="false">H50/E51</f>
        <v>7</v>
      </c>
      <c r="I51" s="1" t="n">
        <f aca="false">I50/F51</f>
        <v>7</v>
      </c>
      <c r="J51" s="1" t="n">
        <f aca="false">J50</f>
        <v>512</v>
      </c>
      <c r="K51" s="3" t="n">
        <f aca="false">H51*I51*J51</f>
        <v>25088</v>
      </c>
      <c r="L51" s="3" t="n">
        <f aca="false">C51*D51*J50*J51</f>
        <v>2359296</v>
      </c>
      <c r="M51" s="3" t="n">
        <f aca="false">L51*H51*I51</f>
        <v>115605504</v>
      </c>
      <c r="N51" s="4" t="n">
        <f aca="false">M51/M$55</f>
        <v>0.0315537752397222</v>
      </c>
    </row>
    <row r="52" customFormat="false" ht="12.8" hidden="false" customHeight="false" outlineLevel="0" collapsed="false">
      <c r="A52" s="1" t="n">
        <v>50</v>
      </c>
      <c r="B52" s="1" t="s">
        <v>97</v>
      </c>
      <c r="C52" s="0"/>
      <c r="D52" s="0"/>
      <c r="E52" s="1" t="n">
        <v>1</v>
      </c>
      <c r="F52" s="1" t="n">
        <v>1</v>
      </c>
      <c r="G52" s="1" t="s">
        <v>23</v>
      </c>
      <c r="H52" s="1" t="n">
        <f aca="false">H51/E52</f>
        <v>7</v>
      </c>
      <c r="I52" s="1" t="n">
        <f aca="false">I51/F52</f>
        <v>7</v>
      </c>
      <c r="J52" s="1" t="n">
        <f aca="false">J51</f>
        <v>512</v>
      </c>
      <c r="K52" s="3" t="n">
        <f aca="false">H52*I52*J52</f>
        <v>25088</v>
      </c>
      <c r="L52" s="3"/>
      <c r="M52" s="3"/>
      <c r="N52" s="4"/>
    </row>
    <row r="53" customFormat="false" ht="12.8" hidden="false" customHeight="false" outlineLevel="0" collapsed="false">
      <c r="A53" s="1" t="n">
        <v>51</v>
      </c>
      <c r="B53" s="1" t="s">
        <v>98</v>
      </c>
      <c r="C53" s="1" t="n">
        <v>7</v>
      </c>
      <c r="D53" s="1" t="n">
        <v>7</v>
      </c>
      <c r="E53" s="0"/>
      <c r="F53" s="0"/>
      <c r="G53" s="0"/>
      <c r="H53" s="1" t="n">
        <v>1</v>
      </c>
      <c r="I53" s="1" t="n">
        <v>1</v>
      </c>
      <c r="J53" s="1" t="n">
        <v>512</v>
      </c>
      <c r="K53" s="3" t="n">
        <f aca="false">H53*I53*J53</f>
        <v>512</v>
      </c>
      <c r="L53" s="0"/>
      <c r="M53" s="0"/>
      <c r="N53" s="4"/>
    </row>
    <row r="54" customFormat="false" ht="12.8" hidden="false" customHeight="false" outlineLevel="0" collapsed="false">
      <c r="A54" s="1" t="n">
        <v>52</v>
      </c>
      <c r="B54" s="1" t="s">
        <v>31</v>
      </c>
      <c r="C54" s="0"/>
      <c r="D54" s="0"/>
      <c r="E54" s="0"/>
      <c r="F54" s="0"/>
      <c r="G54" s="0"/>
      <c r="H54" s="1" t="n">
        <v>1</v>
      </c>
      <c r="I54" s="1" t="n">
        <v>1</v>
      </c>
      <c r="J54" s="1" t="n">
        <v>1000</v>
      </c>
      <c r="K54" s="3" t="n">
        <f aca="false">H54*I54*J54</f>
        <v>1000</v>
      </c>
      <c r="L54" s="3" t="n">
        <f aca="false">J53*J54</f>
        <v>512000</v>
      </c>
      <c r="M54" s="3" t="n">
        <f aca="false">J53*J54</f>
        <v>512000</v>
      </c>
      <c r="N54" s="4" t="n">
        <f aca="false">M54/M$55</f>
        <v>0.000139747091304042</v>
      </c>
    </row>
    <row r="55" customFormat="false" ht="12.8" hidden="false" customHeight="false" outlineLevel="0" collapsed="false">
      <c r="A55" s="5" t="s">
        <v>34</v>
      </c>
      <c r="B55" s="5"/>
      <c r="C55" s="5"/>
      <c r="D55" s="5"/>
      <c r="E55" s="5"/>
      <c r="F55" s="5"/>
      <c r="G55" s="5"/>
      <c r="H55" s="5"/>
      <c r="I55" s="5"/>
      <c r="J55" s="5"/>
      <c r="K55" s="3" t="n">
        <f aca="false">SUM(K2:K54)</f>
        <v>5295080</v>
      </c>
      <c r="L55" s="3" t="n">
        <f aca="false">SUM(L2:L54)</f>
        <v>21779648</v>
      </c>
      <c r="M55" s="3" t="n">
        <f aca="false">SUM(M2:M54)</f>
        <v>3663761408</v>
      </c>
    </row>
  </sheetData>
  <mergeCells count="1">
    <mergeCell ref="A55:J5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71"/>
  <sheetViews>
    <sheetView windowProtection="false" showFormulas="false" showGridLines="true" showRowColHeaders="true" showZeros="true" rightToLeft="false" tabSelected="false" showOutlineSymbols="true" defaultGridColor="true" view="normal" topLeftCell="A52" colorId="64" zoomScale="120" zoomScaleNormal="120" zoomScalePageLayoutView="100" workbookViewId="0">
      <selection pane="topLeft" activeCell="N4" activeCellId="0" sqref="N4"/>
    </sheetView>
  </sheetViews>
  <sheetFormatPr defaultRowHeight="12.8"/>
  <cols>
    <col collapsed="false" hidden="false" max="1" min="1" style="1" width="10.1224489795918"/>
    <col collapsed="false" hidden="false" max="2" min="2" style="1" width="16.0663265306122"/>
    <col collapsed="false" hidden="false" max="3" min="3" style="1" width="10.530612244898"/>
    <col collapsed="false" hidden="false" max="4" min="4" style="1" width="11.3418367346939"/>
    <col collapsed="false" hidden="false" max="5" min="5" style="1" width="10.0714285714286"/>
    <col collapsed="false" hidden="false" max="6" min="6" style="1" width="9.49489795918367"/>
    <col collapsed="false" hidden="false" max="7" min="7" style="1" width="10.1224489795918"/>
    <col collapsed="false" hidden="false" max="8" min="8" style="1" width="16.1989795918367"/>
    <col collapsed="false" hidden="false" max="9" min="9" style="1" width="16.469387755102"/>
    <col collapsed="false" hidden="false" max="10" min="10" style="1" width="17.5510204081633"/>
    <col collapsed="false" hidden="false" max="12" min="11" style="1" width="10.6632653061225"/>
    <col collapsed="false" hidden="false" max="13" min="13" style="1" width="14.4438775510204"/>
    <col collapsed="false" hidden="false" max="14" min="14" style="1" width="10.1224489795918"/>
    <col collapsed="false" hidden="false" max="15" min="15" style="1" width="18.0867346938776"/>
    <col collapsed="false" hidden="false" max="1025" min="16" style="1" width="10.1224489795918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12</v>
      </c>
      <c r="N1" s="1" t="s">
        <v>13</v>
      </c>
    </row>
    <row r="2" customFormat="false" ht="12.8" hidden="false" customHeight="false" outlineLevel="0" collapsed="false">
      <c r="A2" s="1" t="n">
        <v>0</v>
      </c>
      <c r="B2" s="1" t="s">
        <v>15</v>
      </c>
      <c r="C2" s="0"/>
      <c r="D2" s="0"/>
      <c r="E2" s="0"/>
      <c r="F2" s="0"/>
      <c r="G2" s="0"/>
      <c r="H2" s="1" t="n">
        <v>224</v>
      </c>
      <c r="I2" s="1" t="n">
        <v>224</v>
      </c>
      <c r="J2" s="1" t="n">
        <v>3</v>
      </c>
      <c r="K2" s="3" t="n">
        <f aca="false">H2*I2*J2</f>
        <v>150528</v>
      </c>
      <c r="L2" s="3"/>
      <c r="M2" s="3"/>
      <c r="N2" s="4"/>
    </row>
    <row r="3" customFormat="false" ht="12.8" hidden="false" customHeight="false" outlineLevel="0" collapsed="false">
      <c r="A3" s="1" t="n">
        <v>1</v>
      </c>
      <c r="B3" s="1" t="s">
        <v>49</v>
      </c>
      <c r="C3" s="1" t="n">
        <v>7</v>
      </c>
      <c r="D3" s="1" t="n">
        <v>7</v>
      </c>
      <c r="E3" s="1" t="n">
        <v>2</v>
      </c>
      <c r="F3" s="1" t="n">
        <v>2</v>
      </c>
      <c r="G3" s="1" t="s">
        <v>23</v>
      </c>
      <c r="H3" s="1" t="n">
        <f aca="false">H2/E3</f>
        <v>112</v>
      </c>
      <c r="I3" s="1" t="n">
        <f aca="false">I2/F3</f>
        <v>112</v>
      </c>
      <c r="J3" s="1" t="n">
        <v>64</v>
      </c>
      <c r="K3" s="3" t="n">
        <f aca="false">H3*I3*J3</f>
        <v>802816</v>
      </c>
      <c r="L3" s="3" t="n">
        <f aca="false">C3*D3*J2*J3</f>
        <v>9408</v>
      </c>
      <c r="M3" s="3" t="n">
        <f aca="false">L3*H3*I3</f>
        <v>118013952</v>
      </c>
      <c r="N3" s="4" t="n">
        <f aca="false">M3/M$71</f>
        <v>0.0306018079410481</v>
      </c>
    </row>
    <row r="4" customFormat="false" ht="12.8" hidden="false" customHeight="false" outlineLevel="0" collapsed="false">
      <c r="A4" s="1" t="n">
        <v>2</v>
      </c>
      <c r="B4" s="1" t="s">
        <v>20</v>
      </c>
      <c r="C4" s="1" t="n">
        <v>2</v>
      </c>
      <c r="D4" s="1" t="n">
        <v>2</v>
      </c>
      <c r="E4" s="1" t="n">
        <v>2</v>
      </c>
      <c r="F4" s="1" t="n">
        <v>2</v>
      </c>
      <c r="G4" s="1" t="s">
        <v>23</v>
      </c>
      <c r="H4" s="1" t="n">
        <f aca="false">H3/E4</f>
        <v>56</v>
      </c>
      <c r="I4" s="1" t="n">
        <f aca="false">I3/F4</f>
        <v>56</v>
      </c>
      <c r="J4" s="1" t="n">
        <f aca="false">J3</f>
        <v>64</v>
      </c>
      <c r="K4" s="3" t="n">
        <f aca="false">H4*I4*J4</f>
        <v>200704</v>
      </c>
      <c r="L4" s="3"/>
      <c r="M4" s="3"/>
      <c r="N4" s="4"/>
    </row>
    <row r="5" customFormat="false" ht="12.8" hidden="false" customHeight="false" outlineLevel="0" collapsed="false">
      <c r="A5" s="1" t="n">
        <v>3</v>
      </c>
      <c r="B5" s="1" t="s">
        <v>50</v>
      </c>
      <c r="C5" s="1" t="n">
        <v>1</v>
      </c>
      <c r="D5" s="1" t="n">
        <v>1</v>
      </c>
      <c r="E5" s="1" t="n">
        <v>1</v>
      </c>
      <c r="F5" s="1" t="n">
        <v>1</v>
      </c>
      <c r="G5" s="1" t="s">
        <v>23</v>
      </c>
      <c r="H5" s="1" t="n">
        <f aca="false">H4/E5</f>
        <v>56</v>
      </c>
      <c r="I5" s="1" t="n">
        <f aca="false">I4/F5</f>
        <v>56</v>
      </c>
      <c r="J5" s="1" t="n">
        <f aca="false">J4</f>
        <v>64</v>
      </c>
      <c r="K5" s="3" t="n">
        <f aca="false">H5*I5*J5</f>
        <v>200704</v>
      </c>
      <c r="L5" s="3" t="n">
        <f aca="false">C5*D5*J4*J5</f>
        <v>4096</v>
      </c>
      <c r="M5" s="3" t="n">
        <f aca="false">L5*H5*I5</f>
        <v>12845056</v>
      </c>
      <c r="N5" s="4" t="n">
        <f aca="false">M5/M$71</f>
        <v>0.00333080902759707</v>
      </c>
    </row>
    <row r="6" customFormat="false" ht="12.8" hidden="false" customHeight="false" outlineLevel="0" collapsed="false">
      <c r="A6" s="1" t="n">
        <v>4</v>
      </c>
      <c r="B6" s="1" t="s">
        <v>51</v>
      </c>
      <c r="C6" s="1" t="n">
        <v>3</v>
      </c>
      <c r="D6" s="1" t="n">
        <v>3</v>
      </c>
      <c r="E6" s="1" t="n">
        <v>1</v>
      </c>
      <c r="F6" s="1" t="n">
        <v>1</v>
      </c>
      <c r="G6" s="1" t="s">
        <v>23</v>
      </c>
      <c r="H6" s="1" t="n">
        <f aca="false">H4/E6</f>
        <v>56</v>
      </c>
      <c r="I6" s="1" t="n">
        <f aca="false">I4/F6</f>
        <v>56</v>
      </c>
      <c r="J6" s="1" t="n">
        <f aca="false">J4</f>
        <v>64</v>
      </c>
      <c r="K6" s="3" t="n">
        <f aca="false">H6*I6*J6</f>
        <v>200704</v>
      </c>
      <c r="L6" s="3" t="n">
        <f aca="false">C6*D6*J5*J6</f>
        <v>36864</v>
      </c>
      <c r="M6" s="3" t="n">
        <f aca="false">L6*H6*I6</f>
        <v>115605504</v>
      </c>
      <c r="N6" s="4" t="n">
        <f aca="false">M6/M$71</f>
        <v>0.0299772812483736</v>
      </c>
    </row>
    <row r="7" customFormat="false" ht="12.8" hidden="false" customHeight="false" outlineLevel="0" collapsed="false">
      <c r="A7" s="1" t="n">
        <v>5</v>
      </c>
      <c r="B7" s="1" t="s">
        <v>99</v>
      </c>
      <c r="C7" s="1" t="n">
        <v>1</v>
      </c>
      <c r="D7" s="1" t="n">
        <v>1</v>
      </c>
      <c r="E7" s="1" t="n">
        <v>1</v>
      </c>
      <c r="F7" s="1" t="n">
        <v>1</v>
      </c>
      <c r="G7" s="1" t="s">
        <v>23</v>
      </c>
      <c r="H7" s="1" t="n">
        <f aca="false">H5/E7</f>
        <v>56</v>
      </c>
      <c r="I7" s="1" t="n">
        <f aca="false">I5/F7</f>
        <v>56</v>
      </c>
      <c r="J7" s="1" t="n">
        <f aca="false">J6*4</f>
        <v>256</v>
      </c>
      <c r="K7" s="3" t="n">
        <f aca="false">H7*I7*J7</f>
        <v>802816</v>
      </c>
      <c r="L7" s="3" t="n">
        <f aca="false">C7*D7*J6*J7</f>
        <v>16384</v>
      </c>
      <c r="M7" s="3" t="n">
        <f aca="false">L7*H7*I7</f>
        <v>51380224</v>
      </c>
      <c r="N7" s="4" t="n">
        <f aca="false">M7/M$71</f>
        <v>0.0133232361103883</v>
      </c>
    </row>
    <row r="8" customFormat="false" ht="12.8" hidden="false" customHeight="false" outlineLevel="0" collapsed="false">
      <c r="A8" s="1" t="n">
        <v>6</v>
      </c>
      <c r="B8" s="1" t="s">
        <v>52</v>
      </c>
      <c r="C8" s="1" t="n">
        <v>1</v>
      </c>
      <c r="D8" s="1" t="n">
        <v>1</v>
      </c>
      <c r="E8" s="1" t="n">
        <v>1</v>
      </c>
      <c r="F8" s="1" t="n">
        <v>1</v>
      </c>
      <c r="G8" s="1" t="s">
        <v>23</v>
      </c>
      <c r="H8" s="1" t="n">
        <f aca="false">H7/E8</f>
        <v>56</v>
      </c>
      <c r="I8" s="1" t="n">
        <f aca="false">I7/F8</f>
        <v>56</v>
      </c>
      <c r="J8" s="1" t="n">
        <f aca="false">J4*4</f>
        <v>256</v>
      </c>
      <c r="K8" s="3" t="n">
        <f aca="false">H8*I8*J8</f>
        <v>802816</v>
      </c>
      <c r="L8" s="3" t="n">
        <f aca="false">C8*D8*J14*J8</f>
        <v>16384</v>
      </c>
      <c r="M8" s="3" t="n">
        <f aca="false">L8*H8*I8</f>
        <v>51380224</v>
      </c>
      <c r="N8" s="4" t="n">
        <f aca="false">M8/M$71</f>
        <v>0.0133232361103883</v>
      </c>
    </row>
    <row r="9" customFormat="false" ht="12.8" hidden="false" customHeight="false" outlineLevel="0" collapsed="false">
      <c r="A9" s="1" t="n">
        <v>7</v>
      </c>
      <c r="B9" s="1" t="s">
        <v>54</v>
      </c>
      <c r="C9" s="1" t="n">
        <v>1</v>
      </c>
      <c r="D9" s="1" t="n">
        <v>1</v>
      </c>
      <c r="E9" s="1" t="n">
        <v>1</v>
      </c>
      <c r="F9" s="1" t="n">
        <v>1</v>
      </c>
      <c r="G9" s="1" t="s">
        <v>23</v>
      </c>
      <c r="H9" s="1" t="n">
        <f aca="false">H8/E9</f>
        <v>56</v>
      </c>
      <c r="I9" s="1" t="n">
        <f aca="false">I8/F9</f>
        <v>56</v>
      </c>
      <c r="J9" s="1" t="n">
        <f aca="false">64</f>
        <v>64</v>
      </c>
      <c r="K9" s="3" t="n">
        <f aca="false">H9*I9*J9</f>
        <v>200704</v>
      </c>
      <c r="L9" s="3" t="n">
        <f aca="false">C9*D9*J8*J9</f>
        <v>16384</v>
      </c>
      <c r="M9" s="3" t="n">
        <f aca="false">L9*H9*I9</f>
        <v>51380224</v>
      </c>
      <c r="N9" s="4" t="n">
        <f aca="false">M9/M$71</f>
        <v>0.0133232361103883</v>
      </c>
    </row>
    <row r="10" customFormat="false" ht="12.8" hidden="false" customHeight="false" outlineLevel="0" collapsed="false">
      <c r="A10" s="1" t="n">
        <v>8</v>
      </c>
      <c r="B10" s="1" t="s">
        <v>100</v>
      </c>
      <c r="C10" s="1" t="n">
        <v>3</v>
      </c>
      <c r="D10" s="1" t="n">
        <v>3</v>
      </c>
      <c r="E10" s="1" t="n">
        <v>1</v>
      </c>
      <c r="F10" s="1" t="n">
        <v>1</v>
      </c>
      <c r="G10" s="1" t="s">
        <v>23</v>
      </c>
      <c r="H10" s="1" t="n">
        <f aca="false">H9/E10</f>
        <v>56</v>
      </c>
      <c r="I10" s="1" t="n">
        <f aca="false">I9/F10</f>
        <v>56</v>
      </c>
      <c r="J10" s="1" t="n">
        <f aca="false">J9</f>
        <v>64</v>
      </c>
      <c r="K10" s="3" t="n">
        <f aca="false">H10*I10*J10</f>
        <v>200704</v>
      </c>
      <c r="L10" s="3" t="n">
        <f aca="false">C10*D10*J9*J10</f>
        <v>36864</v>
      </c>
      <c r="M10" s="3" t="n">
        <f aca="false">L10*H10*I10</f>
        <v>115605504</v>
      </c>
      <c r="N10" s="4" t="n">
        <f aca="false">M10/M$71</f>
        <v>0.0299772812483736</v>
      </c>
    </row>
    <row r="11" customFormat="false" ht="12.8" hidden="false" customHeight="false" outlineLevel="0" collapsed="false">
      <c r="A11" s="1" t="n">
        <v>9</v>
      </c>
      <c r="B11" s="1" t="s">
        <v>101</v>
      </c>
      <c r="C11" s="1" t="n">
        <v>1</v>
      </c>
      <c r="D11" s="1" t="n">
        <v>1</v>
      </c>
      <c r="E11" s="1" t="n">
        <v>1</v>
      </c>
      <c r="F11" s="1" t="n">
        <v>1</v>
      </c>
      <c r="G11" s="1" t="s">
        <v>23</v>
      </c>
      <c r="H11" s="1" t="n">
        <f aca="false">H9/E11</f>
        <v>56</v>
      </c>
      <c r="I11" s="1" t="n">
        <f aca="false">I9/F11</f>
        <v>56</v>
      </c>
      <c r="J11" s="1" t="n">
        <f aca="false">J10*4</f>
        <v>256</v>
      </c>
      <c r="K11" s="3" t="n">
        <f aca="false">H11*I11*J11</f>
        <v>802816</v>
      </c>
      <c r="L11" s="3" t="n">
        <f aca="false">C11*D11*J10*J11</f>
        <v>16384</v>
      </c>
      <c r="M11" s="3" t="n">
        <f aca="false">L11*H11*I11</f>
        <v>51380224</v>
      </c>
      <c r="N11" s="4" t="n">
        <f aca="false">M11/M$71</f>
        <v>0.0133232361103883</v>
      </c>
    </row>
    <row r="12" customFormat="false" ht="12.8" hidden="false" customHeight="false" outlineLevel="0" collapsed="false">
      <c r="A12" s="1" t="n">
        <v>10</v>
      </c>
      <c r="B12" s="1" t="s">
        <v>55</v>
      </c>
      <c r="C12" s="0"/>
      <c r="D12" s="0"/>
      <c r="E12" s="1" t="n">
        <v>1</v>
      </c>
      <c r="F12" s="1" t="n">
        <v>1</v>
      </c>
      <c r="G12" s="1" t="s">
        <v>23</v>
      </c>
      <c r="H12" s="1" t="n">
        <f aca="false">H11/E12</f>
        <v>56</v>
      </c>
      <c r="I12" s="1" t="n">
        <f aca="false">I11/F12</f>
        <v>56</v>
      </c>
      <c r="J12" s="1" t="n">
        <f aca="false">J11</f>
        <v>256</v>
      </c>
      <c r="K12" s="3" t="n">
        <f aca="false">H12*I12*J12</f>
        <v>802816</v>
      </c>
      <c r="L12" s="3"/>
      <c r="M12" s="3"/>
      <c r="N12" s="4"/>
    </row>
    <row r="13" customFormat="false" ht="12.8" hidden="false" customHeight="false" outlineLevel="0" collapsed="false">
      <c r="A13" s="1" t="n">
        <v>11</v>
      </c>
      <c r="B13" s="1" t="s">
        <v>102</v>
      </c>
      <c r="C13" s="1" t="n">
        <v>1</v>
      </c>
      <c r="D13" s="1" t="n">
        <v>1</v>
      </c>
      <c r="E13" s="1" t="n">
        <v>1</v>
      </c>
      <c r="F13" s="1" t="n">
        <v>1</v>
      </c>
      <c r="G13" s="1" t="s">
        <v>23</v>
      </c>
      <c r="H13" s="1" t="n">
        <f aca="false">H12/E13</f>
        <v>56</v>
      </c>
      <c r="I13" s="1" t="n">
        <f aca="false">I12/F13</f>
        <v>56</v>
      </c>
      <c r="J13" s="1" t="n">
        <v>64</v>
      </c>
      <c r="K13" s="3" t="n">
        <f aca="false">H13*I13*J13</f>
        <v>200704</v>
      </c>
      <c r="L13" s="3" t="n">
        <f aca="false">C13*D13*J12*J13</f>
        <v>16384</v>
      </c>
      <c r="M13" s="3" t="n">
        <f aca="false">L13*H13*I13</f>
        <v>51380224</v>
      </c>
      <c r="N13" s="4" t="n">
        <f aca="false">M13/M$71</f>
        <v>0.0133232361103883</v>
      </c>
    </row>
    <row r="14" customFormat="false" ht="12.8" hidden="false" customHeight="false" outlineLevel="0" collapsed="false">
      <c r="A14" s="1" t="n">
        <v>12</v>
      </c>
      <c r="B14" s="1" t="s">
        <v>103</v>
      </c>
      <c r="C14" s="1" t="n">
        <v>3</v>
      </c>
      <c r="D14" s="1" t="n">
        <v>3</v>
      </c>
      <c r="E14" s="1" t="n">
        <v>1</v>
      </c>
      <c r="F14" s="1" t="n">
        <v>1</v>
      </c>
      <c r="G14" s="1" t="s">
        <v>23</v>
      </c>
      <c r="H14" s="1" t="n">
        <f aca="false">H13/E14</f>
        <v>56</v>
      </c>
      <c r="I14" s="1" t="n">
        <f aca="false">I13/F14</f>
        <v>56</v>
      </c>
      <c r="J14" s="1" t="n">
        <f aca="false">J13</f>
        <v>64</v>
      </c>
      <c r="K14" s="3" t="n">
        <f aca="false">H14*I14*J14</f>
        <v>200704</v>
      </c>
      <c r="L14" s="3" t="n">
        <f aca="false">C14*D14*J13*J14</f>
        <v>36864</v>
      </c>
      <c r="M14" s="3" t="n">
        <f aca="false">L14*H14*I14</f>
        <v>115605504</v>
      </c>
      <c r="N14" s="4" t="n">
        <f aca="false">M14/M$71</f>
        <v>0.0299772812483736</v>
      </c>
    </row>
    <row r="15" customFormat="false" ht="12.8" hidden="false" customHeight="false" outlineLevel="0" collapsed="false">
      <c r="A15" s="1" t="n">
        <v>13</v>
      </c>
      <c r="B15" s="1" t="s">
        <v>104</v>
      </c>
      <c r="C15" s="1" t="n">
        <v>1</v>
      </c>
      <c r="D15" s="1" t="n">
        <v>1</v>
      </c>
      <c r="E15" s="1" t="n">
        <v>1</v>
      </c>
      <c r="F15" s="1" t="n">
        <v>1</v>
      </c>
      <c r="G15" s="1" t="s">
        <v>23</v>
      </c>
      <c r="H15" s="1" t="n">
        <f aca="false">H14/E15</f>
        <v>56</v>
      </c>
      <c r="I15" s="1" t="n">
        <f aca="false">I14/F15</f>
        <v>56</v>
      </c>
      <c r="J15" s="1" t="n">
        <f aca="false">J14*4</f>
        <v>256</v>
      </c>
      <c r="K15" s="3" t="n">
        <f aca="false">H15*I15*J15</f>
        <v>802816</v>
      </c>
      <c r="L15" s="3" t="n">
        <f aca="false">C15*D15*J14*J15</f>
        <v>16384</v>
      </c>
      <c r="M15" s="3" t="n">
        <f aca="false">L15*H15*I15</f>
        <v>51380224</v>
      </c>
      <c r="N15" s="4" t="n">
        <f aca="false">M15/M$71</f>
        <v>0.0133232361103883</v>
      </c>
    </row>
    <row r="16" customFormat="false" ht="12.8" hidden="false" customHeight="false" outlineLevel="0" collapsed="false">
      <c r="A16" s="1" t="n">
        <v>14</v>
      </c>
      <c r="B16" s="1" t="s">
        <v>58</v>
      </c>
      <c r="C16" s="0"/>
      <c r="D16" s="0"/>
      <c r="E16" s="1" t="n">
        <v>1</v>
      </c>
      <c r="F16" s="1" t="n">
        <v>1</v>
      </c>
      <c r="G16" s="1" t="s">
        <v>23</v>
      </c>
      <c r="H16" s="1" t="n">
        <f aca="false">H14/E16</f>
        <v>56</v>
      </c>
      <c r="I16" s="1" t="n">
        <f aca="false">I14/F16</f>
        <v>56</v>
      </c>
      <c r="J16" s="1" t="n">
        <f aca="false">J15</f>
        <v>256</v>
      </c>
      <c r="K16" s="3" t="n">
        <f aca="false">H16*I16*J16</f>
        <v>802816</v>
      </c>
      <c r="L16" s="3"/>
      <c r="M16" s="3"/>
      <c r="N16" s="4"/>
    </row>
    <row r="17" customFormat="false" ht="12.8" hidden="false" customHeight="false" outlineLevel="0" collapsed="false">
      <c r="A17" s="1" t="n">
        <v>15</v>
      </c>
      <c r="B17" s="1" t="s">
        <v>105</v>
      </c>
      <c r="C17" s="1" t="n">
        <v>1</v>
      </c>
      <c r="D17" s="1" t="n">
        <v>1</v>
      </c>
      <c r="E17" s="1" t="n">
        <v>2</v>
      </c>
      <c r="F17" s="1" t="n">
        <v>2</v>
      </c>
      <c r="G17" s="1" t="s">
        <v>23</v>
      </c>
      <c r="H17" s="1" t="n">
        <f aca="false">H16/E17</f>
        <v>28</v>
      </c>
      <c r="I17" s="1" t="n">
        <f aca="false">I16/F17</f>
        <v>28</v>
      </c>
      <c r="J17" s="1" t="n">
        <v>128</v>
      </c>
      <c r="K17" s="3" t="n">
        <f aca="false">H17*I17*J17</f>
        <v>100352</v>
      </c>
      <c r="L17" s="3" t="n">
        <f aca="false">C17*D17*J16*J17</f>
        <v>32768</v>
      </c>
      <c r="M17" s="3" t="n">
        <f aca="false">L17*H17*I17</f>
        <v>25690112</v>
      </c>
      <c r="N17" s="4" t="n">
        <f aca="false">M17/M$71</f>
        <v>0.00666161805519414</v>
      </c>
    </row>
    <row r="18" customFormat="false" ht="12.8" hidden="false" customHeight="false" outlineLevel="0" collapsed="false">
      <c r="A18" s="1" t="n">
        <v>16</v>
      </c>
      <c r="B18" s="1" t="s">
        <v>106</v>
      </c>
      <c r="C18" s="1" t="n">
        <v>3</v>
      </c>
      <c r="D18" s="1" t="n">
        <v>3</v>
      </c>
      <c r="E18" s="1" t="n">
        <v>1</v>
      </c>
      <c r="F18" s="1" t="n">
        <v>1</v>
      </c>
      <c r="G18" s="1" t="s">
        <v>23</v>
      </c>
      <c r="H18" s="1" t="n">
        <f aca="false">H17/E18</f>
        <v>28</v>
      </c>
      <c r="I18" s="1" t="n">
        <f aca="false">I17/F18</f>
        <v>28</v>
      </c>
      <c r="J18" s="1" t="n">
        <f aca="false">J17</f>
        <v>128</v>
      </c>
      <c r="K18" s="3" t="n">
        <f aca="false">H18*I18*J18</f>
        <v>100352</v>
      </c>
      <c r="L18" s="3" t="n">
        <f aca="false">C18*D18*J17*J18</f>
        <v>147456</v>
      </c>
      <c r="M18" s="3" t="n">
        <f aca="false">L18*H18*I18</f>
        <v>115605504</v>
      </c>
      <c r="N18" s="4" t="n">
        <f aca="false">M18/M$71</f>
        <v>0.0299772812483736</v>
      </c>
    </row>
    <row r="19" customFormat="false" ht="12.8" hidden="false" customHeight="false" outlineLevel="0" collapsed="false">
      <c r="A19" s="1" t="n">
        <v>17</v>
      </c>
      <c r="B19" s="1" t="s">
        <v>107</v>
      </c>
      <c r="C19" s="1" t="n">
        <v>1</v>
      </c>
      <c r="D19" s="1" t="n">
        <v>1</v>
      </c>
      <c r="E19" s="1" t="n">
        <v>1</v>
      </c>
      <c r="F19" s="1" t="n">
        <v>1</v>
      </c>
      <c r="G19" s="1" t="s">
        <v>23</v>
      </c>
      <c r="H19" s="1" t="n">
        <f aca="false">H18/E19</f>
        <v>28</v>
      </c>
      <c r="I19" s="1" t="n">
        <f aca="false">I18/F19</f>
        <v>28</v>
      </c>
      <c r="J19" s="1" t="n">
        <f aca="false">J18*4</f>
        <v>512</v>
      </c>
      <c r="K19" s="3" t="n">
        <f aca="false">H19*I19*J19</f>
        <v>401408</v>
      </c>
      <c r="L19" s="3" t="n">
        <f aca="false">C19*D19*J18*J19</f>
        <v>65536</v>
      </c>
      <c r="M19" s="3" t="n">
        <f aca="false">L19*H19*I19</f>
        <v>51380224</v>
      </c>
      <c r="N19" s="4" t="n">
        <f aca="false">M19/M$71</f>
        <v>0.0133232361103883</v>
      </c>
    </row>
    <row r="20" customFormat="false" ht="12.8" hidden="false" customHeight="false" outlineLevel="0" collapsed="false">
      <c r="A20" s="1" t="n">
        <v>18</v>
      </c>
      <c r="B20" s="1" t="s">
        <v>61</v>
      </c>
      <c r="C20" s="1" t="n">
        <v>1</v>
      </c>
      <c r="D20" s="1" t="n">
        <v>1</v>
      </c>
      <c r="E20" s="1" t="n">
        <v>2</v>
      </c>
      <c r="F20" s="1" t="n">
        <v>2</v>
      </c>
      <c r="G20" s="1" t="s">
        <v>23</v>
      </c>
      <c r="H20" s="1" t="n">
        <f aca="false">H16/E20</f>
        <v>28</v>
      </c>
      <c r="I20" s="1" t="n">
        <f aca="false">I16/F20</f>
        <v>28</v>
      </c>
      <c r="J20" s="1" t="n">
        <f aca="false">J19</f>
        <v>512</v>
      </c>
      <c r="K20" s="3" t="n">
        <f aca="false">H20*I20*J20</f>
        <v>401408</v>
      </c>
      <c r="L20" s="3" t="n">
        <f aca="false">C20*D20*J16*J20</f>
        <v>131072</v>
      </c>
      <c r="M20" s="3" t="n">
        <f aca="false">L20*H20*I20</f>
        <v>102760448</v>
      </c>
      <c r="N20" s="4" t="n">
        <f aca="false">M20/M$71</f>
        <v>0.0266464722207766</v>
      </c>
    </row>
    <row r="21" customFormat="false" ht="12.8" hidden="false" customHeight="false" outlineLevel="0" collapsed="false">
      <c r="A21" s="1" t="n">
        <v>19</v>
      </c>
      <c r="B21" s="1" t="s">
        <v>108</v>
      </c>
      <c r="C21" s="1" t="n">
        <v>1</v>
      </c>
      <c r="D21" s="1" t="n">
        <v>1</v>
      </c>
      <c r="E21" s="1" t="n">
        <v>1</v>
      </c>
      <c r="F21" s="1" t="n">
        <v>1</v>
      </c>
      <c r="G21" s="1" t="s">
        <v>23</v>
      </c>
      <c r="H21" s="1" t="n">
        <f aca="false">H20/E21</f>
        <v>28</v>
      </c>
      <c r="I21" s="1" t="n">
        <f aca="false">I20/F21</f>
        <v>28</v>
      </c>
      <c r="J21" s="1" t="n">
        <f aca="false">128</f>
        <v>128</v>
      </c>
      <c r="K21" s="3" t="n">
        <f aca="false">H21*I21*J21</f>
        <v>100352</v>
      </c>
      <c r="L21" s="3" t="n">
        <f aca="false">C21*D21*J20*J21</f>
        <v>65536</v>
      </c>
      <c r="M21" s="3" t="n">
        <f aca="false">L21*H21*I21</f>
        <v>51380224</v>
      </c>
      <c r="N21" s="4" t="n">
        <f aca="false">M21/M$71</f>
        <v>0.0133232361103883</v>
      </c>
    </row>
    <row r="22" customFormat="false" ht="12.8" hidden="false" customHeight="false" outlineLevel="0" collapsed="false">
      <c r="A22" s="1" t="n">
        <v>20</v>
      </c>
      <c r="B22" s="1" t="s">
        <v>109</v>
      </c>
      <c r="C22" s="1" t="n">
        <v>3</v>
      </c>
      <c r="D22" s="1" t="n">
        <v>3</v>
      </c>
      <c r="E22" s="1" t="n">
        <v>1</v>
      </c>
      <c r="F22" s="1" t="n">
        <v>1</v>
      </c>
      <c r="G22" s="1" t="s">
        <v>23</v>
      </c>
      <c r="H22" s="1" t="n">
        <f aca="false">H21/E22</f>
        <v>28</v>
      </c>
      <c r="I22" s="1" t="n">
        <f aca="false">I21/F22</f>
        <v>28</v>
      </c>
      <c r="J22" s="1" t="n">
        <f aca="false">J21</f>
        <v>128</v>
      </c>
      <c r="K22" s="3" t="n">
        <f aca="false">H22*I22*J22</f>
        <v>100352</v>
      </c>
      <c r="L22" s="3" t="n">
        <f aca="false">C22*D22*J21*J22</f>
        <v>147456</v>
      </c>
      <c r="M22" s="3" t="n">
        <f aca="false">L22*H22*I22</f>
        <v>115605504</v>
      </c>
      <c r="N22" s="4" t="n">
        <f aca="false">M22/M$71</f>
        <v>0.0299772812483736</v>
      </c>
    </row>
    <row r="23" customFormat="false" ht="12.8" hidden="false" customHeight="false" outlineLevel="0" collapsed="false">
      <c r="A23" s="1" t="n">
        <v>21</v>
      </c>
      <c r="B23" s="1" t="s">
        <v>110</v>
      </c>
      <c r="C23" s="1" t="n">
        <v>1</v>
      </c>
      <c r="D23" s="1" t="n">
        <v>1</v>
      </c>
      <c r="E23" s="1" t="n">
        <v>1</v>
      </c>
      <c r="F23" s="1" t="n">
        <v>1</v>
      </c>
      <c r="G23" s="1" t="s">
        <v>23</v>
      </c>
      <c r="H23" s="1" t="n">
        <f aca="false">H21/E23</f>
        <v>28</v>
      </c>
      <c r="I23" s="1" t="n">
        <f aca="false">I21/F23</f>
        <v>28</v>
      </c>
      <c r="J23" s="1" t="n">
        <f aca="false">J22*4</f>
        <v>512</v>
      </c>
      <c r="K23" s="3" t="n">
        <f aca="false">H23*I23*J23</f>
        <v>401408</v>
      </c>
      <c r="L23" s="3" t="n">
        <f aca="false">C23*D23*J22*J23</f>
        <v>65536</v>
      </c>
      <c r="M23" s="3" t="n">
        <f aca="false">L23*H23*I23</f>
        <v>51380224</v>
      </c>
      <c r="N23" s="4" t="n">
        <f aca="false">M23/M$71</f>
        <v>0.0133232361103883</v>
      </c>
    </row>
    <row r="24" customFormat="false" ht="12.8" hidden="false" customHeight="false" outlineLevel="0" collapsed="false">
      <c r="A24" s="1" t="n">
        <v>22</v>
      </c>
      <c r="B24" s="1" t="s">
        <v>64</v>
      </c>
      <c r="C24" s="0"/>
      <c r="D24" s="0"/>
      <c r="E24" s="1" t="n">
        <v>1</v>
      </c>
      <c r="F24" s="1" t="n">
        <v>1</v>
      </c>
      <c r="G24" s="1" t="s">
        <v>23</v>
      </c>
      <c r="H24" s="1" t="n">
        <f aca="false">H23/E24</f>
        <v>28</v>
      </c>
      <c r="I24" s="1" t="n">
        <f aca="false">I23/F24</f>
        <v>28</v>
      </c>
      <c r="J24" s="1" t="n">
        <f aca="false">J23</f>
        <v>512</v>
      </c>
      <c r="K24" s="3" t="n">
        <f aca="false">H24*I24*J24</f>
        <v>401408</v>
      </c>
      <c r="L24" s="3"/>
      <c r="M24" s="3"/>
      <c r="N24" s="4"/>
    </row>
    <row r="25" customFormat="false" ht="12.8" hidden="false" customHeight="false" outlineLevel="0" collapsed="false">
      <c r="A25" s="1" t="n">
        <v>23</v>
      </c>
      <c r="B25" s="1" t="s">
        <v>111</v>
      </c>
      <c r="C25" s="1" t="n">
        <v>1</v>
      </c>
      <c r="D25" s="1" t="n">
        <v>1</v>
      </c>
      <c r="E25" s="1" t="n">
        <v>1</v>
      </c>
      <c r="F25" s="1" t="n">
        <v>1</v>
      </c>
      <c r="G25" s="1" t="s">
        <v>23</v>
      </c>
      <c r="H25" s="1" t="n">
        <f aca="false">H24/E25</f>
        <v>28</v>
      </c>
      <c r="I25" s="1" t="n">
        <f aca="false">I24/F25</f>
        <v>28</v>
      </c>
      <c r="J25" s="1" t="n">
        <f aca="false">128</f>
        <v>128</v>
      </c>
      <c r="K25" s="3" t="n">
        <f aca="false">H25*I25*J25</f>
        <v>100352</v>
      </c>
      <c r="L25" s="3" t="n">
        <f aca="false">C25*D25*J24*J25</f>
        <v>65536</v>
      </c>
      <c r="M25" s="3" t="n">
        <f aca="false">L25*H25*I25</f>
        <v>51380224</v>
      </c>
      <c r="N25" s="4" t="n">
        <f aca="false">M25/M$71</f>
        <v>0.0133232361103883</v>
      </c>
    </row>
    <row r="26" customFormat="false" ht="12.8" hidden="false" customHeight="false" outlineLevel="0" collapsed="false">
      <c r="A26" s="1" t="n">
        <v>24</v>
      </c>
      <c r="B26" s="1" t="s">
        <v>112</v>
      </c>
      <c r="C26" s="1" t="n">
        <v>3</v>
      </c>
      <c r="D26" s="1" t="n">
        <v>3</v>
      </c>
      <c r="E26" s="1" t="n">
        <v>1</v>
      </c>
      <c r="F26" s="1" t="n">
        <v>1</v>
      </c>
      <c r="G26" s="1" t="s">
        <v>23</v>
      </c>
      <c r="H26" s="1" t="n">
        <f aca="false">H25/E26</f>
        <v>28</v>
      </c>
      <c r="I26" s="1" t="n">
        <f aca="false">I25/F26</f>
        <v>28</v>
      </c>
      <c r="J26" s="1" t="n">
        <f aca="false">J25</f>
        <v>128</v>
      </c>
      <c r="K26" s="3" t="n">
        <f aca="false">H26*I26*J26</f>
        <v>100352</v>
      </c>
      <c r="L26" s="3" t="n">
        <f aca="false">C26*D26*J25*J26</f>
        <v>147456</v>
      </c>
      <c r="M26" s="3" t="n">
        <f aca="false">L26*H26*I26</f>
        <v>115605504</v>
      </c>
      <c r="N26" s="4" t="n">
        <f aca="false">M26/M$71</f>
        <v>0.0299772812483736</v>
      </c>
    </row>
    <row r="27" customFormat="false" ht="12.8" hidden="false" customHeight="false" outlineLevel="0" collapsed="false">
      <c r="A27" s="1" t="n">
        <v>25</v>
      </c>
      <c r="B27" s="1" t="s">
        <v>113</v>
      </c>
      <c r="C27" s="1" t="n">
        <v>1</v>
      </c>
      <c r="D27" s="1" t="n">
        <v>1</v>
      </c>
      <c r="E27" s="1" t="n">
        <v>1</v>
      </c>
      <c r="F27" s="1" t="n">
        <v>1</v>
      </c>
      <c r="G27" s="1" t="s">
        <v>23</v>
      </c>
      <c r="H27" s="1" t="n">
        <f aca="false">H25/E27</f>
        <v>28</v>
      </c>
      <c r="I27" s="1" t="n">
        <f aca="false">I25/F27</f>
        <v>28</v>
      </c>
      <c r="J27" s="1" t="n">
        <f aca="false">J26*4</f>
        <v>512</v>
      </c>
      <c r="K27" s="3" t="n">
        <f aca="false">H27*I27*J27</f>
        <v>401408</v>
      </c>
      <c r="L27" s="3" t="n">
        <f aca="false">C27*D27*J26*J27</f>
        <v>65536</v>
      </c>
      <c r="M27" s="3" t="n">
        <f aca="false">L27*H27*I27</f>
        <v>51380224</v>
      </c>
      <c r="N27" s="4" t="n">
        <f aca="false">M27/M$71</f>
        <v>0.0133232361103883</v>
      </c>
    </row>
    <row r="28" customFormat="false" ht="12.8" hidden="false" customHeight="false" outlineLevel="0" collapsed="false">
      <c r="A28" s="1" t="n">
        <v>26</v>
      </c>
      <c r="B28" s="1" t="s">
        <v>67</v>
      </c>
      <c r="C28" s="0"/>
      <c r="D28" s="0"/>
      <c r="E28" s="1" t="n">
        <v>1</v>
      </c>
      <c r="F28" s="1" t="n">
        <v>1</v>
      </c>
      <c r="G28" s="1" t="s">
        <v>23</v>
      </c>
      <c r="H28" s="1" t="n">
        <f aca="false">H27/E28</f>
        <v>28</v>
      </c>
      <c r="I28" s="1" t="n">
        <f aca="false">I27/F28</f>
        <v>28</v>
      </c>
      <c r="J28" s="1" t="n">
        <f aca="false">J27</f>
        <v>512</v>
      </c>
      <c r="K28" s="3" t="n">
        <f aca="false">H28*I28*J28</f>
        <v>401408</v>
      </c>
      <c r="L28" s="3"/>
      <c r="M28" s="3"/>
      <c r="N28" s="4"/>
    </row>
    <row r="29" customFormat="false" ht="12.8" hidden="false" customHeight="false" outlineLevel="0" collapsed="false">
      <c r="A29" s="1" t="n">
        <v>27</v>
      </c>
      <c r="B29" s="1" t="s">
        <v>114</v>
      </c>
      <c r="C29" s="1" t="n">
        <v>1</v>
      </c>
      <c r="D29" s="1" t="n">
        <v>1</v>
      </c>
      <c r="E29" s="1" t="n">
        <v>1</v>
      </c>
      <c r="F29" s="1" t="n">
        <v>1</v>
      </c>
      <c r="G29" s="1" t="s">
        <v>23</v>
      </c>
      <c r="H29" s="1" t="n">
        <f aca="false">H28/E29</f>
        <v>28</v>
      </c>
      <c r="I29" s="1" t="n">
        <f aca="false">I28/F29</f>
        <v>28</v>
      </c>
      <c r="J29" s="1" t="n">
        <f aca="false">128</f>
        <v>128</v>
      </c>
      <c r="K29" s="3" t="n">
        <f aca="false">H29*I29*J29</f>
        <v>100352</v>
      </c>
      <c r="L29" s="3" t="n">
        <f aca="false">C29*D29*J28*J29</f>
        <v>65536</v>
      </c>
      <c r="M29" s="3" t="n">
        <f aca="false">L29*H29*I29</f>
        <v>51380224</v>
      </c>
      <c r="N29" s="4" t="n">
        <f aca="false">M29/M$71</f>
        <v>0.0133232361103883</v>
      </c>
    </row>
    <row r="30" customFormat="false" ht="12.8" hidden="false" customHeight="false" outlineLevel="0" collapsed="false">
      <c r="A30" s="1" t="n">
        <v>28</v>
      </c>
      <c r="B30" s="1" t="s">
        <v>115</v>
      </c>
      <c r="C30" s="1" t="n">
        <v>3</v>
      </c>
      <c r="D30" s="1" t="n">
        <v>3</v>
      </c>
      <c r="E30" s="1" t="n">
        <v>1</v>
      </c>
      <c r="F30" s="1" t="n">
        <v>1</v>
      </c>
      <c r="G30" s="1" t="s">
        <v>23</v>
      </c>
      <c r="H30" s="1" t="n">
        <f aca="false">H29/E30</f>
        <v>28</v>
      </c>
      <c r="I30" s="1" t="n">
        <f aca="false">I29/F30</f>
        <v>28</v>
      </c>
      <c r="J30" s="1" t="n">
        <f aca="false">J29</f>
        <v>128</v>
      </c>
      <c r="K30" s="3" t="n">
        <f aca="false">H30*I30*J30</f>
        <v>100352</v>
      </c>
      <c r="L30" s="3" t="n">
        <f aca="false">C30*D30*J29*J30</f>
        <v>147456</v>
      </c>
      <c r="M30" s="3" t="n">
        <f aca="false">L30*H30*I30</f>
        <v>115605504</v>
      </c>
      <c r="N30" s="4" t="n">
        <f aca="false">M30/M$71</f>
        <v>0.0299772812483736</v>
      </c>
    </row>
    <row r="31" customFormat="false" ht="12.8" hidden="false" customHeight="false" outlineLevel="0" collapsed="false">
      <c r="A31" s="1" t="n">
        <v>29</v>
      </c>
      <c r="B31" s="1" t="s">
        <v>116</v>
      </c>
      <c r="C31" s="1" t="n">
        <v>1</v>
      </c>
      <c r="D31" s="1" t="n">
        <v>1</v>
      </c>
      <c r="E31" s="1" t="n">
        <v>1</v>
      </c>
      <c r="F31" s="1" t="n">
        <v>1</v>
      </c>
      <c r="G31" s="1" t="s">
        <v>23</v>
      </c>
      <c r="H31" s="1" t="n">
        <f aca="false">H29/E31</f>
        <v>28</v>
      </c>
      <c r="I31" s="1" t="n">
        <f aca="false">I29/F31</f>
        <v>28</v>
      </c>
      <c r="J31" s="1" t="n">
        <f aca="false">J30*4</f>
        <v>512</v>
      </c>
      <c r="K31" s="3" t="n">
        <f aca="false">H31*I31*J31</f>
        <v>401408</v>
      </c>
      <c r="L31" s="3" t="n">
        <f aca="false">C31*D31*J30*J31</f>
        <v>65536</v>
      </c>
      <c r="M31" s="3" t="n">
        <f aca="false">L31*H31*I31</f>
        <v>51380224</v>
      </c>
      <c r="N31" s="4" t="n">
        <f aca="false">M31/M$71</f>
        <v>0.0133232361103883</v>
      </c>
    </row>
    <row r="32" customFormat="false" ht="12.8" hidden="false" customHeight="false" outlineLevel="0" collapsed="false">
      <c r="A32" s="1" t="n">
        <v>30</v>
      </c>
      <c r="B32" s="1" t="s">
        <v>70</v>
      </c>
      <c r="C32" s="0"/>
      <c r="D32" s="0"/>
      <c r="E32" s="1" t="n">
        <v>1</v>
      </c>
      <c r="F32" s="1" t="n">
        <v>1</v>
      </c>
      <c r="G32" s="1" t="s">
        <v>23</v>
      </c>
      <c r="H32" s="1" t="n">
        <f aca="false">H31/E32</f>
        <v>28</v>
      </c>
      <c r="I32" s="1" t="n">
        <f aca="false">I31/F32</f>
        <v>28</v>
      </c>
      <c r="J32" s="1" t="n">
        <f aca="false">J31</f>
        <v>512</v>
      </c>
      <c r="K32" s="3" t="n">
        <f aca="false">H32*I32*J32</f>
        <v>401408</v>
      </c>
      <c r="L32" s="3"/>
      <c r="M32" s="3"/>
      <c r="N32" s="4"/>
    </row>
    <row r="33" customFormat="false" ht="12.8" hidden="false" customHeight="false" outlineLevel="0" collapsed="false">
      <c r="A33" s="1" t="n">
        <v>31</v>
      </c>
      <c r="B33" s="1" t="s">
        <v>117</v>
      </c>
      <c r="C33" s="1" t="n">
        <v>1</v>
      </c>
      <c r="D33" s="1" t="n">
        <v>1</v>
      </c>
      <c r="E33" s="1" t="n">
        <v>2</v>
      </c>
      <c r="F33" s="1" t="n">
        <v>2</v>
      </c>
      <c r="G33" s="1" t="s">
        <v>23</v>
      </c>
      <c r="H33" s="1" t="n">
        <f aca="false">H32/E33</f>
        <v>14</v>
      </c>
      <c r="I33" s="1" t="n">
        <f aca="false">I32/F33</f>
        <v>14</v>
      </c>
      <c r="J33" s="1" t="n">
        <v>256</v>
      </c>
      <c r="K33" s="3" t="n">
        <f aca="false">H33*I33*J33</f>
        <v>50176</v>
      </c>
      <c r="L33" s="3" t="n">
        <f aca="false">C33*D33*J32*J33</f>
        <v>131072</v>
      </c>
      <c r="M33" s="3" t="n">
        <f aca="false">L33*H33*I33</f>
        <v>25690112</v>
      </c>
      <c r="N33" s="4" t="n">
        <f aca="false">M33/M$71</f>
        <v>0.00666161805519414</v>
      </c>
    </row>
    <row r="34" customFormat="false" ht="12.8" hidden="false" customHeight="false" outlineLevel="0" collapsed="false">
      <c r="A34" s="1" t="n">
        <v>32</v>
      </c>
      <c r="B34" s="1" t="s">
        <v>118</v>
      </c>
      <c r="C34" s="1" t="n">
        <v>3</v>
      </c>
      <c r="D34" s="1" t="n">
        <v>3</v>
      </c>
      <c r="E34" s="1" t="n">
        <v>1</v>
      </c>
      <c r="F34" s="1" t="n">
        <v>1</v>
      </c>
      <c r="G34" s="1" t="s">
        <v>23</v>
      </c>
      <c r="H34" s="1" t="n">
        <f aca="false">H33/E34</f>
        <v>14</v>
      </c>
      <c r="I34" s="1" t="n">
        <f aca="false">I33/F34</f>
        <v>14</v>
      </c>
      <c r="J34" s="1" t="n">
        <v>256</v>
      </c>
      <c r="K34" s="3" t="n">
        <f aca="false">H34*I34*J34</f>
        <v>50176</v>
      </c>
      <c r="L34" s="3" t="n">
        <f aca="false">C34*D34*J33*J34</f>
        <v>589824</v>
      </c>
      <c r="M34" s="3" t="n">
        <f aca="false">L34*H34*I34</f>
        <v>115605504</v>
      </c>
      <c r="N34" s="4" t="n">
        <f aca="false">M34/M$71</f>
        <v>0.0299772812483736</v>
      </c>
    </row>
    <row r="35" customFormat="false" ht="12.8" hidden="false" customHeight="false" outlineLevel="0" collapsed="false">
      <c r="A35" s="1" t="n">
        <v>33</v>
      </c>
      <c r="B35" s="1" t="s">
        <v>119</v>
      </c>
      <c r="C35" s="1" t="n">
        <v>1</v>
      </c>
      <c r="D35" s="1" t="n">
        <v>1</v>
      </c>
      <c r="E35" s="1" t="n">
        <v>1</v>
      </c>
      <c r="F35" s="1" t="n">
        <v>1</v>
      </c>
      <c r="G35" s="1" t="s">
        <v>23</v>
      </c>
      <c r="H35" s="1" t="n">
        <f aca="false">H33/E35</f>
        <v>14</v>
      </c>
      <c r="I35" s="1" t="n">
        <f aca="false">I33/F35</f>
        <v>14</v>
      </c>
      <c r="J35" s="1" t="n">
        <f aca="false">J34*4</f>
        <v>1024</v>
      </c>
      <c r="K35" s="3" t="n">
        <f aca="false">H35*I35*J35</f>
        <v>200704</v>
      </c>
      <c r="L35" s="3" t="n">
        <f aca="false">C35*D35*J34*J35</f>
        <v>262144</v>
      </c>
      <c r="M35" s="3" t="n">
        <f aca="false">L35*H35*I35</f>
        <v>51380224</v>
      </c>
      <c r="N35" s="4" t="n">
        <f aca="false">M35/M$71</f>
        <v>0.0133232361103883</v>
      </c>
    </row>
    <row r="36" customFormat="false" ht="12.8" hidden="false" customHeight="false" outlineLevel="0" collapsed="false">
      <c r="A36" s="1" t="n">
        <v>34</v>
      </c>
      <c r="B36" s="1" t="s">
        <v>73</v>
      </c>
      <c r="C36" s="1" t="n">
        <v>1</v>
      </c>
      <c r="D36" s="1" t="n">
        <v>1</v>
      </c>
      <c r="E36" s="1" t="n">
        <v>2</v>
      </c>
      <c r="F36" s="1" t="n">
        <v>2</v>
      </c>
      <c r="G36" s="1" t="s">
        <v>23</v>
      </c>
      <c r="H36" s="1" t="n">
        <f aca="false">H32/E36</f>
        <v>14</v>
      </c>
      <c r="I36" s="1" t="n">
        <f aca="false">I32/F36</f>
        <v>14</v>
      </c>
      <c r="J36" s="1" t="n">
        <f aca="false">J35</f>
        <v>1024</v>
      </c>
      <c r="K36" s="3" t="n">
        <f aca="false">H36*I36*J36</f>
        <v>200704</v>
      </c>
      <c r="L36" s="3" t="n">
        <f aca="false">C36*D36*J32*J36</f>
        <v>524288</v>
      </c>
      <c r="M36" s="3" t="n">
        <f aca="false">L36*H36*I36</f>
        <v>102760448</v>
      </c>
      <c r="N36" s="4" t="n">
        <f aca="false">M36/M$71</f>
        <v>0.0266464722207766</v>
      </c>
    </row>
    <row r="37" customFormat="false" ht="12.8" hidden="false" customHeight="false" outlineLevel="0" collapsed="false">
      <c r="A37" s="1" t="n">
        <v>35</v>
      </c>
      <c r="B37" s="1" t="s">
        <v>120</v>
      </c>
      <c r="C37" s="1" t="n">
        <v>1</v>
      </c>
      <c r="D37" s="1" t="n">
        <v>1</v>
      </c>
      <c r="E37" s="1" t="n">
        <v>1</v>
      </c>
      <c r="F37" s="1" t="n">
        <v>1</v>
      </c>
      <c r="G37" s="1" t="s">
        <v>23</v>
      </c>
      <c r="H37" s="1" t="n">
        <f aca="false">H36/E37</f>
        <v>14</v>
      </c>
      <c r="I37" s="1" t="n">
        <f aca="false">I36/F37</f>
        <v>14</v>
      </c>
      <c r="J37" s="1" t="n">
        <f aca="false">256</f>
        <v>256</v>
      </c>
      <c r="K37" s="3" t="n">
        <f aca="false">H37*I37*J37</f>
        <v>50176</v>
      </c>
      <c r="L37" s="3" t="n">
        <f aca="false">C37*D37*J36*J37</f>
        <v>262144</v>
      </c>
      <c r="M37" s="3" t="n">
        <f aca="false">L37*H37*I37</f>
        <v>51380224</v>
      </c>
      <c r="N37" s="4" t="n">
        <f aca="false">M37/M$71</f>
        <v>0.0133232361103883</v>
      </c>
    </row>
    <row r="38" customFormat="false" ht="12.8" hidden="false" customHeight="false" outlineLevel="0" collapsed="false">
      <c r="A38" s="1" t="n">
        <v>36</v>
      </c>
      <c r="B38" s="1" t="s">
        <v>121</v>
      </c>
      <c r="C38" s="1" t="n">
        <v>3</v>
      </c>
      <c r="D38" s="1" t="n">
        <v>3</v>
      </c>
      <c r="E38" s="1" t="n">
        <v>1</v>
      </c>
      <c r="F38" s="1" t="n">
        <v>1</v>
      </c>
      <c r="G38" s="1" t="s">
        <v>23</v>
      </c>
      <c r="H38" s="1" t="n">
        <f aca="false">H37/E38</f>
        <v>14</v>
      </c>
      <c r="I38" s="1" t="n">
        <f aca="false">I37/F38</f>
        <v>14</v>
      </c>
      <c r="J38" s="1" t="n">
        <f aca="false">J37</f>
        <v>256</v>
      </c>
      <c r="K38" s="3" t="n">
        <f aca="false">H38*I38*J38</f>
        <v>50176</v>
      </c>
      <c r="L38" s="3" t="n">
        <f aca="false">C38*D38*J37*J38</f>
        <v>589824</v>
      </c>
      <c r="M38" s="3" t="n">
        <f aca="false">L38*H38*I38</f>
        <v>115605504</v>
      </c>
      <c r="N38" s="4" t="n">
        <f aca="false">M38/M$71</f>
        <v>0.0299772812483736</v>
      </c>
    </row>
    <row r="39" customFormat="false" ht="12.8" hidden="false" customHeight="false" outlineLevel="0" collapsed="false">
      <c r="A39" s="1" t="n">
        <v>37</v>
      </c>
      <c r="B39" s="1" t="s">
        <v>122</v>
      </c>
      <c r="C39" s="1" t="n">
        <v>1</v>
      </c>
      <c r="D39" s="1" t="n">
        <v>1</v>
      </c>
      <c r="E39" s="1" t="n">
        <v>1</v>
      </c>
      <c r="F39" s="1" t="n">
        <v>1</v>
      </c>
      <c r="G39" s="1" t="s">
        <v>23</v>
      </c>
      <c r="H39" s="1" t="n">
        <f aca="false">H37/E39</f>
        <v>14</v>
      </c>
      <c r="I39" s="1" t="n">
        <f aca="false">I37/F39</f>
        <v>14</v>
      </c>
      <c r="J39" s="1" t="n">
        <f aca="false">J38*4</f>
        <v>1024</v>
      </c>
      <c r="K39" s="3" t="n">
        <f aca="false">H39*I39*J39</f>
        <v>200704</v>
      </c>
      <c r="L39" s="3" t="n">
        <f aca="false">C39*D39*J38*J39</f>
        <v>262144</v>
      </c>
      <c r="M39" s="3" t="n">
        <f aca="false">L39*H39*I39</f>
        <v>51380224</v>
      </c>
      <c r="N39" s="4" t="n">
        <f aca="false">M39/M$71</f>
        <v>0.0133232361103883</v>
      </c>
    </row>
    <row r="40" customFormat="false" ht="12.8" hidden="false" customHeight="false" outlineLevel="0" collapsed="false">
      <c r="A40" s="1" t="n">
        <v>38</v>
      </c>
      <c r="B40" s="1" t="s">
        <v>76</v>
      </c>
      <c r="C40" s="0"/>
      <c r="D40" s="0"/>
      <c r="E40" s="1" t="n">
        <v>1</v>
      </c>
      <c r="F40" s="1" t="n">
        <v>1</v>
      </c>
      <c r="G40" s="1" t="s">
        <v>23</v>
      </c>
      <c r="H40" s="1" t="n">
        <f aca="false">H39/E40</f>
        <v>14</v>
      </c>
      <c r="I40" s="1" t="n">
        <f aca="false">I39/F40</f>
        <v>14</v>
      </c>
      <c r="J40" s="1" t="n">
        <f aca="false">J39</f>
        <v>1024</v>
      </c>
      <c r="K40" s="3" t="n">
        <f aca="false">H40*I40*J40</f>
        <v>200704</v>
      </c>
      <c r="L40" s="3"/>
      <c r="M40" s="3"/>
      <c r="N40" s="4"/>
    </row>
    <row r="41" customFormat="false" ht="12.8" hidden="false" customHeight="false" outlineLevel="0" collapsed="false">
      <c r="A41" s="1" t="n">
        <v>39</v>
      </c>
      <c r="B41" s="1" t="s">
        <v>123</v>
      </c>
      <c r="C41" s="1" t="n">
        <v>1</v>
      </c>
      <c r="D41" s="1" t="n">
        <v>1</v>
      </c>
      <c r="E41" s="1" t="n">
        <v>1</v>
      </c>
      <c r="F41" s="1" t="n">
        <v>1</v>
      </c>
      <c r="G41" s="1" t="s">
        <v>23</v>
      </c>
      <c r="H41" s="1" t="n">
        <f aca="false">H40/E41</f>
        <v>14</v>
      </c>
      <c r="I41" s="1" t="n">
        <f aca="false">I40/F41</f>
        <v>14</v>
      </c>
      <c r="J41" s="1" t="n">
        <f aca="false">256</f>
        <v>256</v>
      </c>
      <c r="K41" s="3" t="n">
        <f aca="false">H41*I41*J41</f>
        <v>50176</v>
      </c>
      <c r="L41" s="3" t="n">
        <f aca="false">C41*D41*J40*J41</f>
        <v>262144</v>
      </c>
      <c r="M41" s="3" t="n">
        <f aca="false">L41*H41*I41</f>
        <v>51380224</v>
      </c>
      <c r="N41" s="4" t="n">
        <f aca="false">M41/M$71</f>
        <v>0.0133232361103883</v>
      </c>
    </row>
    <row r="42" customFormat="false" ht="12.8" hidden="false" customHeight="false" outlineLevel="0" collapsed="false">
      <c r="A42" s="1" t="n">
        <v>40</v>
      </c>
      <c r="B42" s="1" t="s">
        <v>124</v>
      </c>
      <c r="C42" s="1" t="n">
        <v>3</v>
      </c>
      <c r="D42" s="1" t="n">
        <v>3</v>
      </c>
      <c r="E42" s="1" t="n">
        <v>1</v>
      </c>
      <c r="F42" s="1" t="n">
        <v>1</v>
      </c>
      <c r="G42" s="1" t="s">
        <v>23</v>
      </c>
      <c r="H42" s="1" t="n">
        <f aca="false">H41/E42</f>
        <v>14</v>
      </c>
      <c r="I42" s="1" t="n">
        <f aca="false">I41/F42</f>
        <v>14</v>
      </c>
      <c r="J42" s="1" t="n">
        <f aca="false">J41</f>
        <v>256</v>
      </c>
      <c r="K42" s="3" t="n">
        <f aca="false">H42*I42*J42</f>
        <v>50176</v>
      </c>
      <c r="L42" s="3" t="n">
        <f aca="false">C42*D42*J41*J42</f>
        <v>589824</v>
      </c>
      <c r="M42" s="3" t="n">
        <f aca="false">L42*H42*I42</f>
        <v>115605504</v>
      </c>
      <c r="N42" s="4" t="n">
        <f aca="false">M42/M$71</f>
        <v>0.0299772812483736</v>
      </c>
    </row>
    <row r="43" customFormat="false" ht="12.8" hidden="false" customHeight="false" outlineLevel="0" collapsed="false">
      <c r="A43" s="1" t="n">
        <v>41</v>
      </c>
      <c r="B43" s="1" t="s">
        <v>125</v>
      </c>
      <c r="C43" s="1" t="n">
        <v>1</v>
      </c>
      <c r="D43" s="1" t="n">
        <v>1</v>
      </c>
      <c r="E43" s="1" t="n">
        <v>1</v>
      </c>
      <c r="F43" s="1" t="n">
        <v>1</v>
      </c>
      <c r="G43" s="1" t="s">
        <v>23</v>
      </c>
      <c r="H43" s="1" t="n">
        <f aca="false">H41/E43</f>
        <v>14</v>
      </c>
      <c r="I43" s="1" t="n">
        <f aca="false">I41/F43</f>
        <v>14</v>
      </c>
      <c r="J43" s="1" t="n">
        <f aca="false">J42*4</f>
        <v>1024</v>
      </c>
      <c r="K43" s="3" t="n">
        <f aca="false">H43*I43*J43</f>
        <v>200704</v>
      </c>
      <c r="L43" s="3" t="n">
        <f aca="false">C43*D43*J42*J43</f>
        <v>262144</v>
      </c>
      <c r="M43" s="3" t="n">
        <f aca="false">L43*H43*I43</f>
        <v>51380224</v>
      </c>
      <c r="N43" s="4" t="n">
        <f aca="false">M43/M$71</f>
        <v>0.0133232361103883</v>
      </c>
    </row>
    <row r="44" customFormat="false" ht="12.8" hidden="false" customHeight="false" outlineLevel="0" collapsed="false">
      <c r="A44" s="1" t="n">
        <v>42</v>
      </c>
      <c r="B44" s="1" t="s">
        <v>79</v>
      </c>
      <c r="C44" s="0"/>
      <c r="D44" s="0"/>
      <c r="E44" s="1" t="n">
        <v>1</v>
      </c>
      <c r="F44" s="1" t="n">
        <v>1</v>
      </c>
      <c r="G44" s="1" t="s">
        <v>23</v>
      </c>
      <c r="H44" s="1" t="n">
        <f aca="false">H43/E44</f>
        <v>14</v>
      </c>
      <c r="I44" s="1" t="n">
        <f aca="false">I43/F44</f>
        <v>14</v>
      </c>
      <c r="J44" s="1" t="n">
        <f aca="false">J43</f>
        <v>1024</v>
      </c>
      <c r="K44" s="3" t="n">
        <f aca="false">H44*I44*J44</f>
        <v>200704</v>
      </c>
      <c r="L44" s="3"/>
      <c r="M44" s="3"/>
      <c r="N44" s="4"/>
    </row>
    <row r="45" customFormat="false" ht="12.8" hidden="false" customHeight="false" outlineLevel="0" collapsed="false">
      <c r="A45" s="1" t="n">
        <v>43</v>
      </c>
      <c r="B45" s="1" t="s">
        <v>126</v>
      </c>
      <c r="C45" s="1" t="n">
        <v>1</v>
      </c>
      <c r="D45" s="1" t="n">
        <v>1</v>
      </c>
      <c r="E45" s="1" t="n">
        <v>1</v>
      </c>
      <c r="F45" s="1" t="n">
        <v>1</v>
      </c>
      <c r="G45" s="1" t="s">
        <v>23</v>
      </c>
      <c r="H45" s="1" t="n">
        <f aca="false">H44/E45</f>
        <v>14</v>
      </c>
      <c r="I45" s="1" t="n">
        <f aca="false">I44/F45</f>
        <v>14</v>
      </c>
      <c r="J45" s="1" t="n">
        <f aca="false">256</f>
        <v>256</v>
      </c>
      <c r="K45" s="3" t="n">
        <f aca="false">H45*I45*J45</f>
        <v>50176</v>
      </c>
      <c r="L45" s="3" t="n">
        <f aca="false">C45*D45*J44*J45</f>
        <v>262144</v>
      </c>
      <c r="M45" s="3" t="n">
        <f aca="false">L45*H45*I45</f>
        <v>51380224</v>
      </c>
      <c r="N45" s="4" t="n">
        <f aca="false">M45/M$71</f>
        <v>0.0133232361103883</v>
      </c>
    </row>
    <row r="46" customFormat="false" ht="12.8" hidden="false" customHeight="false" outlineLevel="0" collapsed="false">
      <c r="A46" s="1" t="n">
        <v>44</v>
      </c>
      <c r="B46" s="1" t="s">
        <v>127</v>
      </c>
      <c r="C46" s="1" t="n">
        <v>3</v>
      </c>
      <c r="D46" s="1" t="n">
        <v>3</v>
      </c>
      <c r="E46" s="1" t="n">
        <v>1</v>
      </c>
      <c r="F46" s="1" t="n">
        <v>1</v>
      </c>
      <c r="G46" s="1" t="s">
        <v>23</v>
      </c>
      <c r="H46" s="1" t="n">
        <f aca="false">H44/E46</f>
        <v>14</v>
      </c>
      <c r="I46" s="1" t="n">
        <f aca="false">I44/F46</f>
        <v>14</v>
      </c>
      <c r="J46" s="1" t="n">
        <f aca="false">J45</f>
        <v>256</v>
      </c>
      <c r="K46" s="3" t="n">
        <f aca="false">H46*I46*J46</f>
        <v>50176</v>
      </c>
      <c r="L46" s="3" t="n">
        <f aca="false">C46*D46*J45*J46</f>
        <v>589824</v>
      </c>
      <c r="M46" s="3" t="n">
        <f aca="false">L46*H46*I46</f>
        <v>115605504</v>
      </c>
      <c r="N46" s="4" t="n">
        <f aca="false">M46/M$71</f>
        <v>0.0299772812483736</v>
      </c>
    </row>
    <row r="47" customFormat="false" ht="12.8" hidden="false" customHeight="false" outlineLevel="0" collapsed="false">
      <c r="A47" s="1" t="n">
        <v>45</v>
      </c>
      <c r="B47" s="1" t="s">
        <v>128</v>
      </c>
      <c r="C47" s="1" t="n">
        <v>1</v>
      </c>
      <c r="D47" s="1" t="n">
        <v>1</v>
      </c>
      <c r="E47" s="1" t="n">
        <v>1</v>
      </c>
      <c r="F47" s="1" t="n">
        <v>1</v>
      </c>
      <c r="G47" s="1" t="s">
        <v>23</v>
      </c>
      <c r="H47" s="1" t="n">
        <f aca="false">H45/E47</f>
        <v>14</v>
      </c>
      <c r="I47" s="1" t="n">
        <f aca="false">I45/F47</f>
        <v>14</v>
      </c>
      <c r="J47" s="1" t="n">
        <f aca="false">J46*4</f>
        <v>1024</v>
      </c>
      <c r="K47" s="3" t="n">
        <f aca="false">H47*I47*J47</f>
        <v>200704</v>
      </c>
      <c r="L47" s="3" t="n">
        <f aca="false">C47*D47*J46*J47</f>
        <v>262144</v>
      </c>
      <c r="M47" s="3" t="n">
        <f aca="false">L47*H47*I47</f>
        <v>51380224</v>
      </c>
      <c r="N47" s="4" t="n">
        <f aca="false">M47/M$71</f>
        <v>0.0133232361103883</v>
      </c>
    </row>
    <row r="48" customFormat="false" ht="12.8" hidden="false" customHeight="false" outlineLevel="0" collapsed="false">
      <c r="A48" s="1" t="n">
        <v>46</v>
      </c>
      <c r="B48" s="1" t="s">
        <v>82</v>
      </c>
      <c r="C48" s="0"/>
      <c r="D48" s="0"/>
      <c r="E48" s="1" t="n">
        <v>1</v>
      </c>
      <c r="F48" s="1" t="n">
        <v>1</v>
      </c>
      <c r="G48" s="1" t="s">
        <v>23</v>
      </c>
      <c r="H48" s="1" t="n">
        <f aca="false">H47/E48</f>
        <v>14</v>
      </c>
      <c r="I48" s="1" t="n">
        <f aca="false">I47/F48</f>
        <v>14</v>
      </c>
      <c r="J48" s="1" t="n">
        <f aca="false">J47</f>
        <v>1024</v>
      </c>
      <c r="K48" s="3" t="n">
        <f aca="false">H48*I48*J48</f>
        <v>200704</v>
      </c>
      <c r="L48" s="3"/>
      <c r="M48" s="3"/>
      <c r="N48" s="4"/>
    </row>
    <row r="49" customFormat="false" ht="12.8" hidden="false" customHeight="false" outlineLevel="0" collapsed="false">
      <c r="A49" s="1" t="n">
        <v>47</v>
      </c>
      <c r="B49" s="1" t="s">
        <v>129</v>
      </c>
      <c r="C49" s="1" t="n">
        <v>1</v>
      </c>
      <c r="D49" s="1" t="n">
        <v>1</v>
      </c>
      <c r="E49" s="1" t="n">
        <v>1</v>
      </c>
      <c r="F49" s="1" t="n">
        <v>1</v>
      </c>
      <c r="G49" s="1" t="s">
        <v>23</v>
      </c>
      <c r="H49" s="1" t="n">
        <f aca="false">H48/E49</f>
        <v>14</v>
      </c>
      <c r="I49" s="1" t="n">
        <f aca="false">I48/F49</f>
        <v>14</v>
      </c>
      <c r="J49" s="1" t="n">
        <f aca="false">256</f>
        <v>256</v>
      </c>
      <c r="K49" s="3" t="n">
        <f aca="false">H49*I49*J49</f>
        <v>50176</v>
      </c>
      <c r="L49" s="3" t="n">
        <f aca="false">C49*D49*J48*J49</f>
        <v>262144</v>
      </c>
      <c r="M49" s="3" t="n">
        <f aca="false">L49*H49*I49</f>
        <v>51380224</v>
      </c>
      <c r="N49" s="4" t="n">
        <f aca="false">M49/M$71</f>
        <v>0.0133232361103883</v>
      </c>
    </row>
    <row r="50" customFormat="false" ht="12.8" hidden="false" customHeight="false" outlineLevel="0" collapsed="false">
      <c r="A50" s="1" t="n">
        <v>48</v>
      </c>
      <c r="B50" s="1" t="s">
        <v>130</v>
      </c>
      <c r="C50" s="1" t="n">
        <v>3</v>
      </c>
      <c r="D50" s="1" t="n">
        <v>3</v>
      </c>
      <c r="E50" s="1" t="n">
        <v>1</v>
      </c>
      <c r="F50" s="1" t="n">
        <v>1</v>
      </c>
      <c r="G50" s="1" t="s">
        <v>23</v>
      </c>
      <c r="H50" s="1" t="n">
        <f aca="false">H48/E50</f>
        <v>14</v>
      </c>
      <c r="I50" s="1" t="n">
        <f aca="false">I48/F50</f>
        <v>14</v>
      </c>
      <c r="J50" s="1" t="n">
        <f aca="false">J49</f>
        <v>256</v>
      </c>
      <c r="K50" s="3" t="n">
        <f aca="false">H50*I50*J50</f>
        <v>50176</v>
      </c>
      <c r="L50" s="3" t="n">
        <f aca="false">C50*D50*J49*J50</f>
        <v>589824</v>
      </c>
      <c r="M50" s="3" t="n">
        <f aca="false">L50*H50*I50</f>
        <v>115605504</v>
      </c>
      <c r="N50" s="4" t="n">
        <f aca="false">M50/M$71</f>
        <v>0.0299772812483736</v>
      </c>
    </row>
    <row r="51" customFormat="false" ht="12.8" hidden="false" customHeight="false" outlineLevel="0" collapsed="false">
      <c r="A51" s="1" t="n">
        <v>49</v>
      </c>
      <c r="B51" s="1" t="s">
        <v>131</v>
      </c>
      <c r="C51" s="1" t="n">
        <v>1</v>
      </c>
      <c r="D51" s="1" t="n">
        <v>1</v>
      </c>
      <c r="E51" s="1" t="n">
        <v>1</v>
      </c>
      <c r="F51" s="1" t="n">
        <v>1</v>
      </c>
      <c r="G51" s="1" t="s">
        <v>23</v>
      </c>
      <c r="H51" s="1" t="n">
        <f aca="false">H49/E51</f>
        <v>14</v>
      </c>
      <c r="I51" s="1" t="n">
        <f aca="false">I49/F51</f>
        <v>14</v>
      </c>
      <c r="J51" s="1" t="n">
        <f aca="false">J49*4</f>
        <v>1024</v>
      </c>
      <c r="K51" s="3" t="n">
        <f aca="false">H51*I51*J51</f>
        <v>200704</v>
      </c>
      <c r="L51" s="3" t="n">
        <f aca="false">C51*D51*J50*J51</f>
        <v>262144</v>
      </c>
      <c r="M51" s="3" t="n">
        <f aca="false">L51*H51*I51</f>
        <v>51380224</v>
      </c>
      <c r="N51" s="4" t="n">
        <f aca="false">M51/M$71</f>
        <v>0.0133232361103883</v>
      </c>
    </row>
    <row r="52" customFormat="false" ht="12.8" hidden="false" customHeight="false" outlineLevel="0" collapsed="false">
      <c r="A52" s="1" t="n">
        <v>50</v>
      </c>
      <c r="B52" s="1" t="s">
        <v>85</v>
      </c>
      <c r="C52" s="0"/>
      <c r="D52" s="0"/>
      <c r="E52" s="1" t="n">
        <v>1</v>
      </c>
      <c r="F52" s="1" t="n">
        <v>1</v>
      </c>
      <c r="G52" s="1" t="s">
        <v>23</v>
      </c>
      <c r="H52" s="1" t="n">
        <f aca="false">H51/E52</f>
        <v>14</v>
      </c>
      <c r="I52" s="1" t="n">
        <f aca="false">I51/F52</f>
        <v>14</v>
      </c>
      <c r="J52" s="1" t="n">
        <f aca="false">J51</f>
        <v>1024</v>
      </c>
      <c r="K52" s="3" t="n">
        <f aca="false">H52*I52*J52</f>
        <v>200704</v>
      </c>
      <c r="L52" s="3"/>
      <c r="M52" s="3"/>
      <c r="N52" s="4"/>
    </row>
    <row r="53" customFormat="false" ht="12.8" hidden="false" customHeight="false" outlineLevel="0" collapsed="false">
      <c r="A53" s="1" t="n">
        <v>51</v>
      </c>
      <c r="B53" s="1" t="s">
        <v>132</v>
      </c>
      <c r="C53" s="1" t="n">
        <v>1</v>
      </c>
      <c r="D53" s="1" t="n">
        <v>1</v>
      </c>
      <c r="E53" s="1" t="n">
        <v>1</v>
      </c>
      <c r="F53" s="1" t="n">
        <v>1</v>
      </c>
      <c r="G53" s="1" t="s">
        <v>23</v>
      </c>
      <c r="H53" s="1" t="n">
        <f aca="false">H52/E53</f>
        <v>14</v>
      </c>
      <c r="I53" s="1" t="n">
        <f aca="false">I52/F53</f>
        <v>14</v>
      </c>
      <c r="J53" s="1" t="n">
        <f aca="false">256</f>
        <v>256</v>
      </c>
      <c r="K53" s="3" t="n">
        <f aca="false">H53*I53*J53</f>
        <v>50176</v>
      </c>
      <c r="L53" s="3" t="n">
        <f aca="false">C53*D53*J52*J53</f>
        <v>262144</v>
      </c>
      <c r="M53" s="3" t="n">
        <f aca="false">L53*H53*I53</f>
        <v>51380224</v>
      </c>
      <c r="N53" s="4" t="n">
        <f aca="false">M53/M$71</f>
        <v>0.0133232361103883</v>
      </c>
    </row>
    <row r="54" customFormat="false" ht="12.8" hidden="false" customHeight="false" outlineLevel="0" collapsed="false">
      <c r="A54" s="1" t="n">
        <v>52</v>
      </c>
      <c r="B54" s="1" t="s">
        <v>133</v>
      </c>
      <c r="C54" s="1" t="n">
        <v>3</v>
      </c>
      <c r="D54" s="1" t="n">
        <v>3</v>
      </c>
      <c r="E54" s="1" t="n">
        <v>1</v>
      </c>
      <c r="F54" s="1" t="n">
        <v>1</v>
      </c>
      <c r="G54" s="1" t="s">
        <v>23</v>
      </c>
      <c r="H54" s="1" t="n">
        <f aca="false">H52/E54</f>
        <v>14</v>
      </c>
      <c r="I54" s="1" t="n">
        <f aca="false">I52/F54</f>
        <v>14</v>
      </c>
      <c r="J54" s="1" t="n">
        <f aca="false">J53</f>
        <v>256</v>
      </c>
      <c r="K54" s="3" t="n">
        <f aca="false">H54*I54*J54</f>
        <v>50176</v>
      </c>
      <c r="L54" s="3" t="n">
        <f aca="false">C54*D54*J53*J54</f>
        <v>589824</v>
      </c>
      <c r="M54" s="3" t="n">
        <f aca="false">L54*H54*I54</f>
        <v>115605504</v>
      </c>
      <c r="N54" s="4" t="n">
        <f aca="false">M54/M$71</f>
        <v>0.0299772812483736</v>
      </c>
    </row>
    <row r="55" customFormat="false" ht="12.8" hidden="false" customHeight="false" outlineLevel="0" collapsed="false">
      <c r="A55" s="1" t="n">
        <v>53</v>
      </c>
      <c r="B55" s="1" t="s">
        <v>134</v>
      </c>
      <c r="C55" s="1" t="n">
        <v>1</v>
      </c>
      <c r="D55" s="1" t="n">
        <v>1</v>
      </c>
      <c r="E55" s="1" t="n">
        <v>1</v>
      </c>
      <c r="F55" s="1" t="n">
        <v>1</v>
      </c>
      <c r="G55" s="1" t="s">
        <v>23</v>
      </c>
      <c r="H55" s="1" t="n">
        <f aca="false">H53/E55</f>
        <v>14</v>
      </c>
      <c r="I55" s="1" t="n">
        <f aca="false">I53/F55</f>
        <v>14</v>
      </c>
      <c r="J55" s="1" t="n">
        <f aca="false">J54*4</f>
        <v>1024</v>
      </c>
      <c r="K55" s="3" t="n">
        <f aca="false">H55*I55*J55</f>
        <v>200704</v>
      </c>
      <c r="L55" s="3" t="n">
        <f aca="false">C55*D55*J54*J55</f>
        <v>262144</v>
      </c>
      <c r="M55" s="3" t="n">
        <f aca="false">L55*H55*I55</f>
        <v>51380224</v>
      </c>
      <c r="N55" s="4" t="n">
        <f aca="false">M55/M$71</f>
        <v>0.0133232361103883</v>
      </c>
    </row>
    <row r="56" customFormat="false" ht="12.8" hidden="false" customHeight="false" outlineLevel="0" collapsed="false">
      <c r="A56" s="1" t="n">
        <v>54</v>
      </c>
      <c r="B56" s="1" t="s">
        <v>88</v>
      </c>
      <c r="C56" s="0"/>
      <c r="D56" s="0"/>
      <c r="E56" s="1" t="n">
        <v>1</v>
      </c>
      <c r="F56" s="1" t="n">
        <v>1</v>
      </c>
      <c r="G56" s="1" t="s">
        <v>23</v>
      </c>
      <c r="H56" s="1" t="n">
        <f aca="false">H55/E56</f>
        <v>14</v>
      </c>
      <c r="I56" s="1" t="n">
        <f aca="false">I55/F56</f>
        <v>14</v>
      </c>
      <c r="J56" s="1" t="n">
        <f aca="false">J55</f>
        <v>1024</v>
      </c>
      <c r="K56" s="3" t="n">
        <f aca="false">H56*I56*J56</f>
        <v>200704</v>
      </c>
      <c r="L56" s="3"/>
      <c r="M56" s="3"/>
      <c r="N56" s="4"/>
    </row>
    <row r="57" customFormat="false" ht="12.8" hidden="false" customHeight="false" outlineLevel="0" collapsed="false">
      <c r="A57" s="1" t="n">
        <v>55</v>
      </c>
      <c r="B57" s="1" t="s">
        <v>135</v>
      </c>
      <c r="C57" s="1" t="n">
        <v>1</v>
      </c>
      <c r="D57" s="1" t="n">
        <v>1</v>
      </c>
      <c r="E57" s="1" t="n">
        <v>2</v>
      </c>
      <c r="F57" s="1" t="n">
        <v>2</v>
      </c>
      <c r="G57" s="1" t="s">
        <v>23</v>
      </c>
      <c r="H57" s="1" t="n">
        <f aca="false">H56/E57</f>
        <v>7</v>
      </c>
      <c r="I57" s="1" t="n">
        <f aca="false">I56/F57</f>
        <v>7</v>
      </c>
      <c r="J57" s="1" t="n">
        <v>512</v>
      </c>
      <c r="K57" s="3" t="n">
        <f aca="false">H57*I57*J57</f>
        <v>25088</v>
      </c>
      <c r="L57" s="3" t="n">
        <f aca="false">C57*D57*J56*J57</f>
        <v>524288</v>
      </c>
      <c r="M57" s="3" t="n">
        <f aca="false">L57*H57*I57</f>
        <v>25690112</v>
      </c>
      <c r="N57" s="4" t="n">
        <f aca="false">M57/M$71</f>
        <v>0.00666161805519414</v>
      </c>
    </row>
    <row r="58" customFormat="false" ht="12.8" hidden="false" customHeight="false" outlineLevel="0" collapsed="false">
      <c r="A58" s="1" t="n">
        <v>56</v>
      </c>
      <c r="B58" s="1" t="s">
        <v>136</v>
      </c>
      <c r="C58" s="1" t="n">
        <v>3</v>
      </c>
      <c r="D58" s="1" t="n">
        <v>3</v>
      </c>
      <c r="E58" s="1" t="n">
        <v>1</v>
      </c>
      <c r="F58" s="1" t="n">
        <v>1</v>
      </c>
      <c r="G58" s="1" t="s">
        <v>23</v>
      </c>
      <c r="H58" s="1" t="n">
        <f aca="false">H57</f>
        <v>7</v>
      </c>
      <c r="I58" s="1" t="n">
        <f aca="false">I57</f>
        <v>7</v>
      </c>
      <c r="J58" s="1" t="n">
        <f aca="false">J57</f>
        <v>512</v>
      </c>
      <c r="K58" s="3" t="n">
        <f aca="false">H58*I58*J58</f>
        <v>25088</v>
      </c>
      <c r="L58" s="3" t="n">
        <f aca="false">C58*D58*J57*J58</f>
        <v>2359296</v>
      </c>
      <c r="M58" s="3" t="n">
        <f aca="false">L58*H58*I58</f>
        <v>115605504</v>
      </c>
      <c r="N58" s="4" t="n">
        <f aca="false">M58/M$71</f>
        <v>0.0299772812483736</v>
      </c>
    </row>
    <row r="59" customFormat="false" ht="12.8" hidden="false" customHeight="false" outlineLevel="0" collapsed="false">
      <c r="A59" s="1" t="n">
        <v>57</v>
      </c>
      <c r="B59" s="1" t="s">
        <v>137</v>
      </c>
      <c r="C59" s="1" t="n">
        <v>1</v>
      </c>
      <c r="D59" s="1" t="n">
        <v>1</v>
      </c>
      <c r="E59" s="1" t="n">
        <v>1</v>
      </c>
      <c r="F59" s="1" t="n">
        <v>1</v>
      </c>
      <c r="G59" s="1" t="s">
        <v>23</v>
      </c>
      <c r="H59" s="1" t="n">
        <f aca="false">H57/E59</f>
        <v>7</v>
      </c>
      <c r="I59" s="1" t="n">
        <f aca="false">I57/F59</f>
        <v>7</v>
      </c>
      <c r="J59" s="1" t="n">
        <f aca="false">J58*4</f>
        <v>2048</v>
      </c>
      <c r="K59" s="3" t="n">
        <f aca="false">H59*I59*J59</f>
        <v>100352</v>
      </c>
      <c r="L59" s="3" t="n">
        <f aca="false">C59*D59*J58*J59</f>
        <v>1048576</v>
      </c>
      <c r="M59" s="3" t="n">
        <f aca="false">L59*H59*I59</f>
        <v>51380224</v>
      </c>
      <c r="N59" s="4" t="n">
        <f aca="false">M59/M$71</f>
        <v>0.0133232361103883</v>
      </c>
    </row>
    <row r="60" customFormat="false" ht="12.8" hidden="false" customHeight="false" outlineLevel="0" collapsed="false">
      <c r="A60" s="1" t="n">
        <v>58</v>
      </c>
      <c r="B60" s="1" t="s">
        <v>91</v>
      </c>
      <c r="C60" s="1" t="n">
        <v>1</v>
      </c>
      <c r="D60" s="1" t="n">
        <v>1</v>
      </c>
      <c r="E60" s="1" t="n">
        <v>2</v>
      </c>
      <c r="F60" s="1" t="n">
        <v>2</v>
      </c>
      <c r="G60" s="1" t="s">
        <v>23</v>
      </c>
      <c r="H60" s="1" t="n">
        <f aca="false">H56/E60</f>
        <v>7</v>
      </c>
      <c r="I60" s="1" t="n">
        <f aca="false">I56/F60</f>
        <v>7</v>
      </c>
      <c r="J60" s="1" t="n">
        <f aca="false">J59</f>
        <v>2048</v>
      </c>
      <c r="K60" s="3" t="n">
        <f aca="false">H60*I60*J60</f>
        <v>100352</v>
      </c>
      <c r="L60" s="3" t="n">
        <f aca="false">C60*D60*J56*J60</f>
        <v>2097152</v>
      </c>
      <c r="M60" s="3" t="n">
        <f aca="false">L60*H60*I60</f>
        <v>102760448</v>
      </c>
      <c r="N60" s="4" t="n">
        <f aca="false">M60/M$71</f>
        <v>0.0266464722207766</v>
      </c>
    </row>
    <row r="61" customFormat="false" ht="12.8" hidden="false" customHeight="false" outlineLevel="0" collapsed="false">
      <c r="A61" s="1" t="n">
        <v>59</v>
      </c>
      <c r="B61" s="1" t="s">
        <v>138</v>
      </c>
      <c r="C61" s="1" t="n">
        <v>1</v>
      </c>
      <c r="D61" s="1" t="n">
        <v>1</v>
      </c>
      <c r="E61" s="1" t="n">
        <v>1</v>
      </c>
      <c r="F61" s="1" t="n">
        <v>1</v>
      </c>
      <c r="G61" s="1" t="s">
        <v>23</v>
      </c>
      <c r="H61" s="1" t="n">
        <f aca="false">H60/E61</f>
        <v>7</v>
      </c>
      <c r="I61" s="1" t="n">
        <f aca="false">I60/F61</f>
        <v>7</v>
      </c>
      <c r="J61" s="1" t="n">
        <f aca="false">512</f>
        <v>512</v>
      </c>
      <c r="K61" s="3" t="n">
        <f aca="false">H61*I61*J61</f>
        <v>25088</v>
      </c>
      <c r="L61" s="3" t="n">
        <f aca="false">C61*D61*J60*J61</f>
        <v>1048576</v>
      </c>
      <c r="M61" s="3" t="n">
        <f aca="false">L61*H61*I61</f>
        <v>51380224</v>
      </c>
      <c r="N61" s="4" t="n">
        <f aca="false">M61/M$71</f>
        <v>0.0133232361103883</v>
      </c>
    </row>
    <row r="62" customFormat="false" ht="12.8" hidden="false" customHeight="false" outlineLevel="0" collapsed="false">
      <c r="A62" s="1" t="n">
        <v>60</v>
      </c>
      <c r="B62" s="1" t="s">
        <v>139</v>
      </c>
      <c r="C62" s="1" t="n">
        <v>3</v>
      </c>
      <c r="D62" s="1" t="n">
        <v>3</v>
      </c>
      <c r="E62" s="1" t="n">
        <v>1</v>
      </c>
      <c r="F62" s="1" t="n">
        <v>1</v>
      </c>
      <c r="G62" s="1" t="s">
        <v>23</v>
      </c>
      <c r="H62" s="1" t="n">
        <f aca="false">H60/E62</f>
        <v>7</v>
      </c>
      <c r="I62" s="1" t="n">
        <f aca="false">I60/F62</f>
        <v>7</v>
      </c>
      <c r="J62" s="1" t="n">
        <f aca="false">J61</f>
        <v>512</v>
      </c>
      <c r="K62" s="3" t="n">
        <f aca="false">H62*I62*J62</f>
        <v>25088</v>
      </c>
      <c r="L62" s="3" t="n">
        <f aca="false">C62*D62*J61*J62</f>
        <v>2359296</v>
      </c>
      <c r="M62" s="3" t="n">
        <f aca="false">L62*H62*I62</f>
        <v>115605504</v>
      </c>
      <c r="N62" s="4" t="n">
        <f aca="false">M62/M$71</f>
        <v>0.0299772812483736</v>
      </c>
    </row>
    <row r="63" customFormat="false" ht="12.8" hidden="false" customHeight="false" outlineLevel="0" collapsed="false">
      <c r="A63" s="1" t="n">
        <v>61</v>
      </c>
      <c r="B63" s="1" t="s">
        <v>140</v>
      </c>
      <c r="C63" s="1" t="n">
        <v>1</v>
      </c>
      <c r="D63" s="1" t="n">
        <v>1</v>
      </c>
      <c r="E63" s="1" t="n">
        <v>1</v>
      </c>
      <c r="F63" s="1" t="n">
        <v>1</v>
      </c>
      <c r="G63" s="1" t="s">
        <v>23</v>
      </c>
      <c r="H63" s="1" t="n">
        <f aca="false">H61/E63</f>
        <v>7</v>
      </c>
      <c r="I63" s="1" t="n">
        <f aca="false">I61/F63</f>
        <v>7</v>
      </c>
      <c r="J63" s="1" t="n">
        <f aca="false">J62*4</f>
        <v>2048</v>
      </c>
      <c r="K63" s="3" t="n">
        <f aca="false">H63*I63*J63</f>
        <v>100352</v>
      </c>
      <c r="L63" s="3" t="n">
        <f aca="false">C63*D63*J62*J63</f>
        <v>1048576</v>
      </c>
      <c r="M63" s="3" t="n">
        <f aca="false">L63*H63*I63</f>
        <v>51380224</v>
      </c>
      <c r="N63" s="4" t="n">
        <f aca="false">M63/M$71</f>
        <v>0.0133232361103883</v>
      </c>
    </row>
    <row r="64" customFormat="false" ht="12.8" hidden="false" customHeight="false" outlineLevel="0" collapsed="false">
      <c r="A64" s="1" t="n">
        <v>62</v>
      </c>
      <c r="B64" s="1" t="s">
        <v>94</v>
      </c>
      <c r="C64" s="0"/>
      <c r="D64" s="0"/>
      <c r="E64" s="1" t="n">
        <v>1</v>
      </c>
      <c r="F64" s="1" t="n">
        <v>1</v>
      </c>
      <c r="G64" s="1" t="s">
        <v>23</v>
      </c>
      <c r="H64" s="1" t="n">
        <f aca="false">H63/E64</f>
        <v>7</v>
      </c>
      <c r="I64" s="1" t="n">
        <f aca="false">I63/F64</f>
        <v>7</v>
      </c>
      <c r="J64" s="1" t="n">
        <f aca="false">J63</f>
        <v>2048</v>
      </c>
      <c r="K64" s="3" t="n">
        <f aca="false">H64*I64*J64</f>
        <v>100352</v>
      </c>
      <c r="L64" s="3"/>
      <c r="M64" s="3"/>
      <c r="N64" s="4"/>
    </row>
    <row r="65" customFormat="false" ht="12.8" hidden="false" customHeight="false" outlineLevel="0" collapsed="false">
      <c r="A65" s="1" t="n">
        <v>63</v>
      </c>
      <c r="B65" s="1" t="s">
        <v>141</v>
      </c>
      <c r="C65" s="1" t="n">
        <v>1</v>
      </c>
      <c r="D65" s="1" t="n">
        <v>1</v>
      </c>
      <c r="E65" s="1" t="n">
        <v>1</v>
      </c>
      <c r="F65" s="1" t="n">
        <v>1</v>
      </c>
      <c r="G65" s="1" t="s">
        <v>23</v>
      </c>
      <c r="H65" s="1" t="n">
        <f aca="false">H64/E65</f>
        <v>7</v>
      </c>
      <c r="I65" s="1" t="n">
        <f aca="false">I64/F65</f>
        <v>7</v>
      </c>
      <c r="J65" s="1" t="n">
        <f aca="false">512</f>
        <v>512</v>
      </c>
      <c r="K65" s="3" t="n">
        <f aca="false">H65*I65*J65</f>
        <v>25088</v>
      </c>
      <c r="L65" s="3" t="n">
        <f aca="false">C65*D65*J64*J65</f>
        <v>1048576</v>
      </c>
      <c r="M65" s="3" t="n">
        <f aca="false">L65*H65*I65</f>
        <v>51380224</v>
      </c>
      <c r="N65" s="4" t="n">
        <f aca="false">M65/M$71</f>
        <v>0.0133232361103883</v>
      </c>
    </row>
    <row r="66" customFormat="false" ht="12.8" hidden="false" customHeight="false" outlineLevel="0" collapsed="false">
      <c r="A66" s="1" t="n">
        <v>64</v>
      </c>
      <c r="B66" s="1" t="s">
        <v>142</v>
      </c>
      <c r="C66" s="1" t="n">
        <v>3</v>
      </c>
      <c r="D66" s="1" t="n">
        <v>3</v>
      </c>
      <c r="E66" s="1" t="n">
        <v>1</v>
      </c>
      <c r="F66" s="1" t="n">
        <v>1</v>
      </c>
      <c r="G66" s="1" t="s">
        <v>23</v>
      </c>
      <c r="H66" s="1" t="n">
        <f aca="false">H64/E66</f>
        <v>7</v>
      </c>
      <c r="I66" s="1" t="n">
        <f aca="false">I64/F66</f>
        <v>7</v>
      </c>
      <c r="J66" s="1" t="n">
        <f aca="false">J65</f>
        <v>512</v>
      </c>
      <c r="K66" s="3" t="n">
        <f aca="false">H66*I66*J66</f>
        <v>25088</v>
      </c>
      <c r="L66" s="3" t="n">
        <f aca="false">C66*D66*J65*J66</f>
        <v>2359296</v>
      </c>
      <c r="M66" s="3" t="n">
        <f aca="false">L66*H66*I66</f>
        <v>115605504</v>
      </c>
      <c r="N66" s="4" t="n">
        <f aca="false">M66/M$71</f>
        <v>0.0299772812483736</v>
      </c>
    </row>
    <row r="67" customFormat="false" ht="12.8" hidden="false" customHeight="false" outlineLevel="0" collapsed="false">
      <c r="A67" s="1" t="n">
        <v>65</v>
      </c>
      <c r="B67" s="1" t="s">
        <v>143</v>
      </c>
      <c r="C67" s="1" t="n">
        <v>1</v>
      </c>
      <c r="D67" s="1" t="n">
        <v>1</v>
      </c>
      <c r="E67" s="1" t="n">
        <v>1</v>
      </c>
      <c r="F67" s="1" t="n">
        <v>1</v>
      </c>
      <c r="G67" s="1" t="s">
        <v>23</v>
      </c>
      <c r="H67" s="1" t="n">
        <f aca="false">H65/E67</f>
        <v>7</v>
      </c>
      <c r="I67" s="1" t="n">
        <f aca="false">I65/F67</f>
        <v>7</v>
      </c>
      <c r="J67" s="1" t="n">
        <f aca="false">J66*4</f>
        <v>2048</v>
      </c>
      <c r="K67" s="3" t="n">
        <f aca="false">H67*I67*J67</f>
        <v>100352</v>
      </c>
      <c r="L67" s="3" t="n">
        <f aca="false">C67*D67*J66*J67</f>
        <v>1048576</v>
      </c>
      <c r="M67" s="3" t="n">
        <f aca="false">L67*H67*I67</f>
        <v>51380224</v>
      </c>
      <c r="N67" s="4" t="n">
        <f aca="false">M67/M$71</f>
        <v>0.0133232361103883</v>
      </c>
    </row>
    <row r="68" customFormat="false" ht="12.8" hidden="false" customHeight="false" outlineLevel="0" collapsed="false">
      <c r="A68" s="1" t="n">
        <v>66</v>
      </c>
      <c r="B68" s="1" t="s">
        <v>97</v>
      </c>
      <c r="C68" s="0"/>
      <c r="D68" s="0"/>
      <c r="E68" s="1" t="n">
        <v>1</v>
      </c>
      <c r="F68" s="1" t="n">
        <v>1</v>
      </c>
      <c r="G68" s="1" t="s">
        <v>23</v>
      </c>
      <c r="H68" s="1" t="n">
        <f aca="false">H67/E68</f>
        <v>7</v>
      </c>
      <c r="I68" s="1" t="n">
        <f aca="false">I67/F68</f>
        <v>7</v>
      </c>
      <c r="J68" s="1" t="n">
        <f aca="false">J67</f>
        <v>2048</v>
      </c>
      <c r="K68" s="3" t="n">
        <f aca="false">H68*I68*J68</f>
        <v>100352</v>
      </c>
      <c r="L68" s="3"/>
      <c r="M68" s="3"/>
      <c r="N68" s="4"/>
    </row>
    <row r="69" customFormat="false" ht="12.8" hidden="false" customHeight="false" outlineLevel="0" collapsed="false">
      <c r="A69" s="1" t="n">
        <v>67</v>
      </c>
      <c r="B69" s="1" t="s">
        <v>98</v>
      </c>
      <c r="C69" s="1" t="n">
        <v>7</v>
      </c>
      <c r="D69" s="1" t="n">
        <v>7</v>
      </c>
      <c r="E69" s="0"/>
      <c r="F69" s="0"/>
      <c r="G69" s="0"/>
      <c r="H69" s="1" t="n">
        <v>1</v>
      </c>
      <c r="I69" s="1" t="n">
        <v>1</v>
      </c>
      <c r="J69" s="1" t="n">
        <v>512</v>
      </c>
      <c r="K69" s="3" t="n">
        <f aca="false">H69*I69*J69</f>
        <v>512</v>
      </c>
      <c r="L69" s="0"/>
      <c r="M69" s="0"/>
      <c r="N69" s="4"/>
    </row>
    <row r="70" customFormat="false" ht="12.8" hidden="false" customHeight="false" outlineLevel="0" collapsed="false">
      <c r="A70" s="1" t="n">
        <v>68</v>
      </c>
      <c r="B70" s="1" t="s">
        <v>31</v>
      </c>
      <c r="E70" s="0"/>
      <c r="F70" s="0"/>
      <c r="G70" s="0"/>
      <c r="H70" s="1" t="n">
        <v>1</v>
      </c>
      <c r="I70" s="1" t="n">
        <v>1</v>
      </c>
      <c r="J70" s="1" t="n">
        <v>1000</v>
      </c>
      <c r="K70" s="3" t="n">
        <f aca="false">H70*I70*J70</f>
        <v>1000</v>
      </c>
      <c r="L70" s="3" t="n">
        <f aca="false">J69*J70</f>
        <v>512000</v>
      </c>
      <c r="M70" s="3" t="n">
        <f aca="false">J69*J70</f>
        <v>512000</v>
      </c>
      <c r="N70" s="4" t="n">
        <f aca="false">M70/M$71</f>
        <v>0.000132765028204603</v>
      </c>
    </row>
    <row r="71" customFormat="false" ht="12.8" hidden="false" customHeight="false" outlineLevel="0" collapsed="false">
      <c r="A71" s="5" t="s">
        <v>34</v>
      </c>
      <c r="B71" s="5"/>
      <c r="C71" s="5"/>
      <c r="D71" s="5"/>
      <c r="E71" s="5"/>
      <c r="F71" s="5"/>
      <c r="G71" s="5"/>
      <c r="H71" s="5"/>
      <c r="I71" s="5"/>
      <c r="J71" s="5"/>
      <c r="K71" s="3" t="n">
        <f aca="false">SUM(K2:K70)</f>
        <v>14953960</v>
      </c>
      <c r="L71" s="3" t="n">
        <f aca="false">SUM(L2:L70)</f>
        <v>23966912</v>
      </c>
      <c r="M71" s="3" t="n">
        <f aca="false">SUM(M2:M70)</f>
        <v>3856437248</v>
      </c>
    </row>
  </sheetData>
  <mergeCells count="1">
    <mergeCell ref="A71:J7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86"/>
  <sheetViews>
    <sheetView windowProtection="false" showFormulas="false" showGridLines="true" showRowColHeaders="true" showZeros="true" rightToLeft="false" tabSelected="true" showOutlineSymbols="true" defaultGridColor="true" view="normal" topLeftCell="E1" colorId="64" zoomScale="120" zoomScaleNormal="120" zoomScalePageLayoutView="100" workbookViewId="0">
      <selection pane="topLeft" activeCell="S11" activeCellId="0" sqref="S11"/>
    </sheetView>
  </sheetViews>
  <sheetFormatPr defaultRowHeight="12.8"/>
  <cols>
    <col collapsed="false" hidden="false" max="1" min="1" style="1" width="8.72959183673469"/>
    <col collapsed="false" hidden="false" max="2" min="2" style="1" width="27.0867346938776"/>
    <col collapsed="false" hidden="false" max="3" min="3" style="1" width="7.93877551020408"/>
    <col collapsed="false" hidden="false" max="4" min="4" style="1" width="6.84183673469388"/>
    <col collapsed="false" hidden="false" max="5" min="5" style="1" width="8.92857142857143"/>
    <col collapsed="false" hidden="false" max="6" min="6" style="1" width="9.12755102040816"/>
    <col collapsed="false" hidden="false" max="14" min="7" style="1" width="11.5204081632653"/>
    <col collapsed="false" hidden="false" max="15" min="15" style="1" width="14.4897959183673"/>
    <col collapsed="false" hidden="false" max="16" min="16" style="1" width="15.0816326530612"/>
    <col collapsed="false" hidden="false" max="1025" min="17" style="1" width="11.5204081632653"/>
  </cols>
  <sheetData>
    <row r="1" customFormat="false" ht="12.8" hidden="false" customHeight="false" outlineLevel="0" collapsed="false">
      <c r="A1" s="6" t="s">
        <v>0</v>
      </c>
      <c r="B1" s="6" t="s">
        <v>1</v>
      </c>
      <c r="C1" s="6" t="s">
        <v>144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/>
      <c r="N1" s="6"/>
      <c r="O1" s="6" t="s">
        <v>12</v>
      </c>
      <c r="P1" s="6"/>
      <c r="Q1" s="6"/>
      <c r="R1" s="6" t="s">
        <v>13</v>
      </c>
    </row>
    <row r="2" customFormat="false" ht="12.8" hidden="false" customHeight="false" outlineLevel="0" collapsed="false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 t="s">
        <v>145</v>
      </c>
      <c r="M2" s="2" t="s">
        <v>146</v>
      </c>
      <c r="N2" s="2" t="s">
        <v>147</v>
      </c>
      <c r="O2" s="6" t="s">
        <v>145</v>
      </c>
      <c r="P2" s="1" t="s">
        <v>146</v>
      </c>
      <c r="Q2" s="1" t="s">
        <v>148</v>
      </c>
      <c r="R2" s="6"/>
    </row>
    <row r="3" customFormat="false" ht="12.8" hidden="false" customHeight="false" outlineLevel="0" collapsed="false">
      <c r="A3" s="1" t="n">
        <v>0</v>
      </c>
      <c r="B3" s="1" t="s">
        <v>15</v>
      </c>
      <c r="H3" s="1" t="n">
        <v>224</v>
      </c>
      <c r="I3" s="1" t="n">
        <v>224</v>
      </c>
      <c r="J3" s="1" t="n">
        <v>3</v>
      </c>
      <c r="K3" s="1" t="n">
        <f aca="false">H3*I3*J3</f>
        <v>150528</v>
      </c>
      <c r="M3" s="3"/>
      <c r="N3" s="3"/>
      <c r="P3" s="3"/>
      <c r="Q3" s="3"/>
    </row>
    <row r="4" customFormat="false" ht="12.8" hidden="false" customHeight="false" outlineLevel="0" collapsed="false">
      <c r="A4" s="1" t="n">
        <v>1</v>
      </c>
      <c r="B4" s="1" t="s">
        <v>49</v>
      </c>
      <c r="C4" s="1" t="n">
        <v>7</v>
      </c>
      <c r="D4" s="1" t="n">
        <v>7</v>
      </c>
      <c r="E4" s="1" t="n">
        <v>2</v>
      </c>
      <c r="F4" s="1" t="n">
        <v>2</v>
      </c>
      <c r="G4" s="1" t="s">
        <v>23</v>
      </c>
      <c r="H4" s="1" t="n">
        <f aca="false">H3/E4</f>
        <v>112</v>
      </c>
      <c r="I4" s="1" t="n">
        <f aca="false">I3/F4</f>
        <v>112</v>
      </c>
      <c r="J4" s="1" t="n">
        <v>64</v>
      </c>
      <c r="K4" s="1" t="n">
        <f aca="false">H4*I4*J4</f>
        <v>802816</v>
      </c>
      <c r="L4" s="3" t="n">
        <f aca="false">C4*D4*J3*J4</f>
        <v>9408</v>
      </c>
      <c r="M4" s="3" t="n">
        <f aca="false">L4</f>
        <v>9408</v>
      </c>
      <c r="N4" s="7" t="n">
        <f aca="false">M4/1024</f>
        <v>9.1875</v>
      </c>
      <c r="O4" s="3" t="n">
        <f aca="false">L4*H4*I4</f>
        <v>118013952</v>
      </c>
      <c r="P4" s="3" t="n">
        <f aca="false">O4</f>
        <v>118013952</v>
      </c>
      <c r="Q4" s="3" t="n">
        <f aca="false">P4/1024/1024</f>
        <v>112.546875</v>
      </c>
      <c r="R4" s="4" t="n">
        <f aca="false">P4/P$86</f>
        <v>0.0745662787643199</v>
      </c>
    </row>
    <row r="5" customFormat="false" ht="12.8" hidden="false" customHeight="false" outlineLevel="0" collapsed="false">
      <c r="A5" s="1" t="n">
        <v>2</v>
      </c>
      <c r="B5" s="1" t="s">
        <v>20</v>
      </c>
      <c r="C5" s="1" t="n">
        <v>3</v>
      </c>
      <c r="D5" s="1" t="n">
        <v>3</v>
      </c>
      <c r="E5" s="1" t="n">
        <v>2</v>
      </c>
      <c r="F5" s="1" t="n">
        <v>2</v>
      </c>
      <c r="G5" s="1" t="s">
        <v>23</v>
      </c>
      <c r="H5" s="1" t="n">
        <f aca="false">H4/E5</f>
        <v>56</v>
      </c>
      <c r="I5" s="1" t="n">
        <f aca="false">I4/F5</f>
        <v>56</v>
      </c>
      <c r="J5" s="1" t="n">
        <f aca="false">J4</f>
        <v>64</v>
      </c>
      <c r="K5" s="1" t="n">
        <f aca="false">H5*I5*J5</f>
        <v>200704</v>
      </c>
      <c r="L5" s="3"/>
      <c r="M5" s="3"/>
      <c r="N5" s="3"/>
      <c r="O5" s="3"/>
      <c r="P5" s="3"/>
      <c r="Q5" s="3"/>
      <c r="R5" s="4"/>
    </row>
    <row r="6" customFormat="false" ht="12.8" hidden="false" customHeight="false" outlineLevel="0" collapsed="false">
      <c r="A6" s="1" t="n">
        <v>3</v>
      </c>
      <c r="B6" s="1" t="s">
        <v>149</v>
      </c>
      <c r="C6" s="1" t="n">
        <v>1</v>
      </c>
      <c r="D6" s="1" t="n">
        <v>1</v>
      </c>
      <c r="E6" s="1" t="n">
        <v>1</v>
      </c>
      <c r="F6" s="1" t="n">
        <v>1</v>
      </c>
      <c r="G6" s="1" t="s">
        <v>21</v>
      </c>
      <c r="H6" s="1" t="n">
        <f aca="false">H5/E6</f>
        <v>56</v>
      </c>
      <c r="I6" s="1" t="n">
        <f aca="false">I5/F6</f>
        <v>56</v>
      </c>
      <c r="J6" s="1" t="n">
        <f aca="false">J5</f>
        <v>64</v>
      </c>
      <c r="K6" s="1" t="n">
        <f aca="false">H6*I6*J6</f>
        <v>200704</v>
      </c>
      <c r="L6" s="3" t="n">
        <f aca="false">C6*D6*J5*J6</f>
        <v>4096</v>
      </c>
      <c r="M6" s="8" t="n">
        <f aca="false">SUM(L6:L7)</f>
        <v>114688</v>
      </c>
      <c r="N6" s="8" t="n">
        <f aca="false">M6/1024</f>
        <v>112</v>
      </c>
      <c r="O6" s="3" t="n">
        <f aca="false">L6*H6*I6</f>
        <v>12845056</v>
      </c>
      <c r="P6" s="8" t="n">
        <f aca="false">SUM(O6:O7)</f>
        <v>359661568</v>
      </c>
      <c r="Q6" s="8" t="n">
        <f aca="false">P6/1024/1024</f>
        <v>343</v>
      </c>
      <c r="R6" s="9" t="n">
        <f aca="false">P6/P$86</f>
        <v>0.227249611472213</v>
      </c>
    </row>
    <row r="7" customFormat="false" ht="12.8" hidden="false" customHeight="false" outlineLevel="0" collapsed="false">
      <c r="A7" s="1" t="n">
        <v>4</v>
      </c>
      <c r="B7" s="1" t="s">
        <v>150</v>
      </c>
      <c r="C7" s="1" t="n">
        <v>3</v>
      </c>
      <c r="D7" s="1" t="n">
        <v>3</v>
      </c>
      <c r="E7" s="1" t="n">
        <v>1</v>
      </c>
      <c r="F7" s="1" t="n">
        <v>1</v>
      </c>
      <c r="G7" s="1" t="s">
        <v>23</v>
      </c>
      <c r="H7" s="1" t="n">
        <f aca="false">H6/E7</f>
        <v>56</v>
      </c>
      <c r="I7" s="1" t="n">
        <f aca="false">I6/F7</f>
        <v>56</v>
      </c>
      <c r="J7" s="1" t="n">
        <v>192</v>
      </c>
      <c r="K7" s="1" t="n">
        <f aca="false">H7*I7*J7</f>
        <v>602112</v>
      </c>
      <c r="L7" s="3" t="n">
        <f aca="false">C7*D7*J6*J7</f>
        <v>110592</v>
      </c>
      <c r="M7" s="8"/>
      <c r="N7" s="8" t="n">
        <f aca="false">M7/1024</f>
        <v>0</v>
      </c>
      <c r="O7" s="3" t="n">
        <f aca="false">L7*H7*I7</f>
        <v>346816512</v>
      </c>
      <c r="P7" s="8"/>
      <c r="Q7" s="8" t="n">
        <f aca="false">P7/1024/1024</f>
        <v>0</v>
      </c>
      <c r="R7" s="9" t="n">
        <f aca="false">P7/P$86</f>
        <v>0</v>
      </c>
    </row>
    <row r="8" customFormat="false" ht="12.8" hidden="false" customHeight="false" outlineLevel="0" collapsed="false">
      <c r="A8" s="1" t="n">
        <v>5</v>
      </c>
      <c r="B8" s="1" t="s">
        <v>24</v>
      </c>
      <c r="C8" s="1" t="n">
        <v>3</v>
      </c>
      <c r="D8" s="1" t="n">
        <v>3</v>
      </c>
      <c r="E8" s="1" t="n">
        <v>2</v>
      </c>
      <c r="F8" s="1" t="n">
        <v>2</v>
      </c>
      <c r="G8" s="1" t="s">
        <v>23</v>
      </c>
      <c r="H8" s="1" t="n">
        <f aca="false">H7/E8</f>
        <v>28</v>
      </c>
      <c r="I8" s="1" t="n">
        <f aca="false">I7/F8</f>
        <v>28</v>
      </c>
      <c r="J8" s="1" t="n">
        <f aca="false">J7</f>
        <v>192</v>
      </c>
      <c r="L8" s="3"/>
      <c r="M8" s="3"/>
      <c r="N8" s="3"/>
      <c r="O8" s="3"/>
      <c r="P8" s="3"/>
      <c r="Q8" s="3"/>
      <c r="R8" s="4"/>
    </row>
    <row r="9" customFormat="false" ht="12.8" hidden="false" customHeight="false" outlineLevel="0" collapsed="false">
      <c r="A9" s="1" t="n">
        <v>6</v>
      </c>
      <c r="B9" s="1" t="s">
        <v>151</v>
      </c>
      <c r="C9" s="1" t="n">
        <v>1</v>
      </c>
      <c r="D9" s="1" t="n">
        <v>1</v>
      </c>
      <c r="E9" s="1" t="n">
        <v>1</v>
      </c>
      <c r="F9" s="1" t="n">
        <v>1</v>
      </c>
      <c r="G9" s="1" t="s">
        <v>23</v>
      </c>
      <c r="H9" s="1" t="n">
        <f aca="false">H$8/E9</f>
        <v>28</v>
      </c>
      <c r="I9" s="1" t="n">
        <f aca="false">I$8/F9</f>
        <v>28</v>
      </c>
      <c r="J9" s="1" t="n">
        <v>64</v>
      </c>
      <c r="K9" s="1" t="n">
        <f aca="false">H9*I9*J9</f>
        <v>50176</v>
      </c>
      <c r="L9" s="3" t="n">
        <f aca="false">C9*D9*J8*J9</f>
        <v>12288</v>
      </c>
      <c r="M9" s="8" t="n">
        <f aca="false">SUM(L9:L16)</f>
        <v>163328</v>
      </c>
      <c r="N9" s="8" t="n">
        <f aca="false">M9/1024</f>
        <v>159.5</v>
      </c>
      <c r="O9" s="3" t="n">
        <f aca="false">L9*H9*I9</f>
        <v>9633792</v>
      </c>
      <c r="P9" s="8" t="n">
        <f aca="false">SUM(O9:O16)</f>
        <v>128049152</v>
      </c>
      <c r="Q9" s="8" t="n">
        <f aca="false">P9/1024/1024</f>
        <v>122.1171875</v>
      </c>
      <c r="R9" s="9" t="n">
        <f aca="false">P9/P$86</f>
        <v>0.0809069487272723</v>
      </c>
    </row>
    <row r="10" customFormat="false" ht="12.8" hidden="false" customHeight="false" outlineLevel="0" collapsed="false">
      <c r="A10" s="1" t="n">
        <v>7</v>
      </c>
      <c r="B10" s="1" t="s">
        <v>152</v>
      </c>
      <c r="C10" s="1" t="n">
        <v>1</v>
      </c>
      <c r="D10" s="1" t="n">
        <v>1</v>
      </c>
      <c r="E10" s="1" t="n">
        <v>1</v>
      </c>
      <c r="F10" s="1" t="n">
        <v>1</v>
      </c>
      <c r="G10" s="1" t="s">
        <v>23</v>
      </c>
      <c r="H10" s="1" t="n">
        <f aca="false">H$8/E10</f>
        <v>28</v>
      </c>
      <c r="I10" s="1" t="n">
        <f aca="false">I$8/F10</f>
        <v>28</v>
      </c>
      <c r="J10" s="1" t="n">
        <v>96</v>
      </c>
      <c r="K10" s="1" t="n">
        <f aca="false">H10*I10*J10</f>
        <v>75264</v>
      </c>
      <c r="L10" s="3" t="n">
        <f aca="false">C10*D10*J8*J10</f>
        <v>18432</v>
      </c>
      <c r="M10" s="8"/>
      <c r="N10" s="8" t="n">
        <f aca="false">M10/1024</f>
        <v>0</v>
      </c>
      <c r="O10" s="3" t="n">
        <f aca="false">L10*H10*I10</f>
        <v>14450688</v>
      </c>
      <c r="P10" s="8"/>
      <c r="Q10" s="8" t="n">
        <f aca="false">P10/1024/1024</f>
        <v>0</v>
      </c>
      <c r="R10" s="9" t="n">
        <f aca="false">P10/P$86</f>
        <v>0</v>
      </c>
    </row>
    <row r="11" customFormat="false" ht="12.8" hidden="false" customHeight="false" outlineLevel="0" collapsed="false">
      <c r="A11" s="1" t="n">
        <v>8</v>
      </c>
      <c r="B11" s="1" t="s">
        <v>153</v>
      </c>
      <c r="C11" s="1" t="n">
        <v>3</v>
      </c>
      <c r="D11" s="1" t="n">
        <v>3</v>
      </c>
      <c r="E11" s="1" t="n">
        <v>1</v>
      </c>
      <c r="F11" s="1" t="n">
        <v>1</v>
      </c>
      <c r="G11" s="1" t="s">
        <v>23</v>
      </c>
      <c r="H11" s="1" t="n">
        <f aca="false">H10/E11</f>
        <v>28</v>
      </c>
      <c r="I11" s="1" t="n">
        <f aca="false">I10/F11</f>
        <v>28</v>
      </c>
      <c r="J11" s="1" t="n">
        <v>128</v>
      </c>
      <c r="K11" s="1" t="n">
        <f aca="false">H11*I11*J11</f>
        <v>100352</v>
      </c>
      <c r="L11" s="3" t="n">
        <f aca="false">C11*D11*J10*J11</f>
        <v>110592</v>
      </c>
      <c r="M11" s="8"/>
      <c r="N11" s="8" t="n">
        <f aca="false">M11/1024</f>
        <v>0</v>
      </c>
      <c r="O11" s="3" t="n">
        <f aca="false">L11*H11*I11</f>
        <v>86704128</v>
      </c>
      <c r="P11" s="8"/>
      <c r="Q11" s="8" t="n">
        <f aca="false">P11/1024/1024</f>
        <v>0</v>
      </c>
      <c r="R11" s="9" t="n">
        <f aca="false">P11/P$86</f>
        <v>0</v>
      </c>
    </row>
    <row r="12" customFormat="false" ht="12.8" hidden="false" customHeight="false" outlineLevel="0" collapsed="false">
      <c r="A12" s="1" t="n">
        <v>9</v>
      </c>
      <c r="B12" s="1" t="s">
        <v>154</v>
      </c>
      <c r="C12" s="1" t="n">
        <v>1</v>
      </c>
      <c r="D12" s="1" t="n">
        <v>1</v>
      </c>
      <c r="E12" s="1" t="n">
        <v>1</v>
      </c>
      <c r="F12" s="1" t="n">
        <v>1</v>
      </c>
      <c r="G12" s="1" t="s">
        <v>23</v>
      </c>
      <c r="H12" s="1" t="n">
        <f aca="false">H$8/E12</f>
        <v>28</v>
      </c>
      <c r="I12" s="1" t="n">
        <f aca="false">I$8/F12</f>
        <v>28</v>
      </c>
      <c r="J12" s="1" t="n">
        <v>16</v>
      </c>
      <c r="K12" s="1" t="n">
        <f aca="false">H12*I12*J12</f>
        <v>12544</v>
      </c>
      <c r="L12" s="3" t="n">
        <f aca="false">C12*D12*J8*J12</f>
        <v>3072</v>
      </c>
      <c r="M12" s="8"/>
      <c r="N12" s="8" t="n">
        <f aca="false">M12/1024</f>
        <v>0</v>
      </c>
      <c r="O12" s="3" t="n">
        <f aca="false">L12*H12*I12</f>
        <v>2408448</v>
      </c>
      <c r="P12" s="8"/>
      <c r="Q12" s="8" t="n">
        <f aca="false">P12/1024/1024</f>
        <v>0</v>
      </c>
      <c r="R12" s="9" t="n">
        <f aca="false">P12/P$86</f>
        <v>0</v>
      </c>
    </row>
    <row r="13" customFormat="false" ht="12.8" hidden="false" customHeight="false" outlineLevel="0" collapsed="false">
      <c r="A13" s="1" t="n">
        <v>10</v>
      </c>
      <c r="B13" s="1" t="s">
        <v>155</v>
      </c>
      <c r="C13" s="1" t="n">
        <v>5</v>
      </c>
      <c r="D13" s="1" t="n">
        <v>5</v>
      </c>
      <c r="E13" s="1" t="n">
        <v>1</v>
      </c>
      <c r="F13" s="1" t="n">
        <v>1</v>
      </c>
      <c r="G13" s="1" t="s">
        <v>23</v>
      </c>
      <c r="H13" s="1" t="n">
        <f aca="false">H12/E13</f>
        <v>28</v>
      </c>
      <c r="I13" s="1" t="n">
        <f aca="false">I12/F13</f>
        <v>28</v>
      </c>
      <c r="J13" s="1" t="n">
        <v>32</v>
      </c>
      <c r="K13" s="1" t="n">
        <f aca="false">H13*I13*J13</f>
        <v>25088</v>
      </c>
      <c r="L13" s="3" t="n">
        <f aca="false">C13*D13*J12*J13</f>
        <v>12800</v>
      </c>
      <c r="M13" s="8"/>
      <c r="N13" s="8" t="n">
        <f aca="false">M13/1024</f>
        <v>0</v>
      </c>
      <c r="O13" s="3" t="n">
        <f aca="false">L13*H13*I13</f>
        <v>10035200</v>
      </c>
      <c r="P13" s="8"/>
      <c r="Q13" s="8" t="n">
        <f aca="false">P13/1024/1024</f>
        <v>0</v>
      </c>
      <c r="R13" s="9" t="n">
        <f aca="false">P13/P$86</f>
        <v>0</v>
      </c>
    </row>
    <row r="14" customFormat="false" ht="12.8" hidden="false" customHeight="false" outlineLevel="0" collapsed="false">
      <c r="A14" s="1" t="n">
        <v>11</v>
      </c>
      <c r="B14" s="1" t="s">
        <v>156</v>
      </c>
      <c r="C14" s="1" t="n">
        <v>3</v>
      </c>
      <c r="D14" s="1" t="n">
        <v>3</v>
      </c>
      <c r="E14" s="1" t="n">
        <v>1</v>
      </c>
      <c r="F14" s="1" t="n">
        <v>1</v>
      </c>
      <c r="G14" s="1" t="s">
        <v>23</v>
      </c>
      <c r="H14" s="1" t="n">
        <f aca="false">H$8/E14</f>
        <v>28</v>
      </c>
      <c r="I14" s="1" t="n">
        <f aca="false">I$8/F14</f>
        <v>28</v>
      </c>
      <c r="J14" s="1" t="n">
        <f aca="false">J8</f>
        <v>192</v>
      </c>
      <c r="K14" s="1" t="n">
        <f aca="false">H14*I14*J14</f>
        <v>150528</v>
      </c>
      <c r="L14" s="3"/>
      <c r="M14" s="8"/>
      <c r="N14" s="8" t="n">
        <f aca="false">M14/1024</f>
        <v>0</v>
      </c>
      <c r="O14" s="3"/>
      <c r="P14" s="8"/>
      <c r="Q14" s="8" t="n">
        <f aca="false">P14/1024/1024</f>
        <v>0</v>
      </c>
      <c r="R14" s="9" t="n">
        <f aca="false">P14/P$86</f>
        <v>0</v>
      </c>
    </row>
    <row r="15" customFormat="false" ht="12.8" hidden="false" customHeight="false" outlineLevel="0" collapsed="false">
      <c r="A15" s="1" t="n">
        <v>12</v>
      </c>
      <c r="B15" s="1" t="s">
        <v>157</v>
      </c>
      <c r="C15" s="1" t="n">
        <v>1</v>
      </c>
      <c r="D15" s="1" t="n">
        <v>1</v>
      </c>
      <c r="E15" s="1" t="n">
        <v>1</v>
      </c>
      <c r="F15" s="1" t="n">
        <v>1</v>
      </c>
      <c r="G15" s="1" t="s">
        <v>23</v>
      </c>
      <c r="H15" s="1" t="n">
        <f aca="false">H14/E15</f>
        <v>28</v>
      </c>
      <c r="I15" s="1" t="n">
        <f aca="false">I14/F15</f>
        <v>28</v>
      </c>
      <c r="J15" s="1" t="n">
        <v>32</v>
      </c>
      <c r="K15" s="1" t="n">
        <f aca="false">H15*I15*J15</f>
        <v>25088</v>
      </c>
      <c r="L15" s="3" t="n">
        <f aca="false">C15*D15*J14*J15</f>
        <v>6144</v>
      </c>
      <c r="M15" s="8"/>
      <c r="N15" s="8" t="n">
        <f aca="false">M15/1024</f>
        <v>0</v>
      </c>
      <c r="O15" s="3" t="n">
        <f aca="false">L15*H15*I15</f>
        <v>4816896</v>
      </c>
      <c r="P15" s="8"/>
      <c r="Q15" s="8" t="n">
        <f aca="false">P15/1024/1024</f>
        <v>0</v>
      </c>
      <c r="R15" s="9" t="n">
        <f aca="false">P15/P$86</f>
        <v>0</v>
      </c>
    </row>
    <row r="16" customFormat="false" ht="12.8" hidden="false" customHeight="false" outlineLevel="0" collapsed="false">
      <c r="A16" s="1" t="n">
        <v>13</v>
      </c>
      <c r="B16" s="1" t="s">
        <v>158</v>
      </c>
      <c r="H16" s="1" t="n">
        <f aca="false">H15</f>
        <v>28</v>
      </c>
      <c r="I16" s="1" t="n">
        <f aca="false">I15</f>
        <v>28</v>
      </c>
      <c r="J16" s="1" t="n">
        <f aca="false">J9+J11+J13+J15</f>
        <v>256</v>
      </c>
      <c r="K16" s="1" t="n">
        <f aca="false">H16*I16*J16</f>
        <v>200704</v>
      </c>
      <c r="L16" s="3"/>
      <c r="M16" s="8"/>
      <c r="N16" s="8" t="n">
        <f aca="false">M16/1024</f>
        <v>0</v>
      </c>
      <c r="O16" s="3"/>
      <c r="P16" s="8"/>
      <c r="Q16" s="8" t="n">
        <f aca="false">P16/1024/1024</f>
        <v>0</v>
      </c>
      <c r="R16" s="9" t="n">
        <f aca="false">P16/P$86</f>
        <v>0</v>
      </c>
    </row>
    <row r="17" customFormat="false" ht="12.8" hidden="false" customHeight="false" outlineLevel="0" collapsed="false">
      <c r="A17" s="1" t="n">
        <v>14</v>
      </c>
      <c r="B17" s="1" t="s">
        <v>159</v>
      </c>
      <c r="C17" s="1" t="n">
        <v>1</v>
      </c>
      <c r="D17" s="1" t="n">
        <v>1</v>
      </c>
      <c r="E17" s="1" t="n">
        <v>1</v>
      </c>
      <c r="F17" s="1" t="n">
        <v>1</v>
      </c>
      <c r="G17" s="1" t="s">
        <v>23</v>
      </c>
      <c r="H17" s="1" t="n">
        <f aca="false">H$16/E17</f>
        <v>28</v>
      </c>
      <c r="I17" s="1" t="n">
        <f aca="false">I$16/F17</f>
        <v>28</v>
      </c>
      <c r="J17" s="1" t="n">
        <v>128</v>
      </c>
      <c r="K17" s="1" t="n">
        <f aca="false">H17*I17*J17</f>
        <v>100352</v>
      </c>
      <c r="L17" s="3" t="n">
        <f aca="false">C17*D17*J16*J17</f>
        <v>32768</v>
      </c>
      <c r="M17" s="8" t="n">
        <f aca="false">SUM(L17:L24)</f>
        <v>388096</v>
      </c>
      <c r="N17" s="8" t="n">
        <f aca="false">M17/1024</f>
        <v>379</v>
      </c>
      <c r="O17" s="3" t="n">
        <f aca="false">L17*H17*I17</f>
        <v>25690112</v>
      </c>
      <c r="P17" s="8" t="n">
        <f aca="false">SUM(O17:O24)</f>
        <v>304267264</v>
      </c>
      <c r="Q17" s="8" t="n">
        <f aca="false">P17/1024/1024</f>
        <v>290.171875</v>
      </c>
      <c r="R17" s="9" t="n">
        <f aca="false">P17/P$86</f>
        <v>0.192249113276716</v>
      </c>
    </row>
    <row r="18" customFormat="false" ht="12.8" hidden="false" customHeight="false" outlineLevel="0" collapsed="false">
      <c r="A18" s="1" t="n">
        <v>15</v>
      </c>
      <c r="B18" s="1" t="s">
        <v>160</v>
      </c>
      <c r="C18" s="1" t="n">
        <v>1</v>
      </c>
      <c r="D18" s="1" t="n">
        <v>1</v>
      </c>
      <c r="E18" s="1" t="n">
        <v>1</v>
      </c>
      <c r="F18" s="1" t="n">
        <v>1</v>
      </c>
      <c r="G18" s="1" t="s">
        <v>23</v>
      </c>
      <c r="H18" s="1" t="n">
        <f aca="false">H$16/E18</f>
        <v>28</v>
      </c>
      <c r="I18" s="1" t="n">
        <f aca="false">I$16/F18</f>
        <v>28</v>
      </c>
      <c r="J18" s="1" t="n">
        <v>128</v>
      </c>
      <c r="K18" s="1" t="n">
        <f aca="false">H18*I18*J18</f>
        <v>100352</v>
      </c>
      <c r="L18" s="3" t="n">
        <f aca="false">C18*D18*J16*J18</f>
        <v>32768</v>
      </c>
      <c r="M18" s="8"/>
      <c r="N18" s="8" t="n">
        <f aca="false">M18/1024</f>
        <v>0</v>
      </c>
      <c r="O18" s="3" t="n">
        <f aca="false">L18*H18*I18</f>
        <v>25690112</v>
      </c>
      <c r="P18" s="8"/>
      <c r="Q18" s="8" t="n">
        <f aca="false">P18/1024/1024</f>
        <v>0</v>
      </c>
      <c r="R18" s="9" t="n">
        <f aca="false">P18/P$86</f>
        <v>0</v>
      </c>
    </row>
    <row r="19" customFormat="false" ht="12.8" hidden="false" customHeight="false" outlineLevel="0" collapsed="false">
      <c r="A19" s="1" t="n">
        <v>16</v>
      </c>
      <c r="B19" s="1" t="s">
        <v>161</v>
      </c>
      <c r="C19" s="1" t="n">
        <v>3</v>
      </c>
      <c r="D19" s="1" t="n">
        <v>3</v>
      </c>
      <c r="E19" s="1" t="n">
        <v>1</v>
      </c>
      <c r="F19" s="1" t="n">
        <v>1</v>
      </c>
      <c r="G19" s="1" t="s">
        <v>23</v>
      </c>
      <c r="H19" s="1" t="n">
        <f aca="false">H18/E19</f>
        <v>28</v>
      </c>
      <c r="I19" s="1" t="n">
        <f aca="false">I18/F19</f>
        <v>28</v>
      </c>
      <c r="J19" s="1" t="n">
        <v>192</v>
      </c>
      <c r="K19" s="1" t="n">
        <f aca="false">H19*I19*J19</f>
        <v>150528</v>
      </c>
      <c r="L19" s="3" t="n">
        <f aca="false">C19*D19*J18*J19</f>
        <v>221184</v>
      </c>
      <c r="M19" s="8"/>
      <c r="N19" s="8" t="n">
        <f aca="false">M19/1024</f>
        <v>0</v>
      </c>
      <c r="O19" s="3" t="n">
        <f aca="false">L19*H19*I19</f>
        <v>173408256</v>
      </c>
      <c r="P19" s="8"/>
      <c r="Q19" s="8" t="n">
        <f aca="false">P19/1024/1024</f>
        <v>0</v>
      </c>
      <c r="R19" s="9" t="n">
        <f aca="false">P19/P$86</f>
        <v>0</v>
      </c>
    </row>
    <row r="20" customFormat="false" ht="12.8" hidden="false" customHeight="false" outlineLevel="0" collapsed="false">
      <c r="A20" s="1" t="n">
        <v>17</v>
      </c>
      <c r="B20" s="1" t="s">
        <v>162</v>
      </c>
      <c r="C20" s="1" t="n">
        <v>1</v>
      </c>
      <c r="D20" s="1" t="n">
        <v>1</v>
      </c>
      <c r="E20" s="1" t="n">
        <v>1</v>
      </c>
      <c r="F20" s="1" t="n">
        <v>1</v>
      </c>
      <c r="G20" s="1" t="s">
        <v>23</v>
      </c>
      <c r="H20" s="1" t="n">
        <f aca="false">H$16/E20</f>
        <v>28</v>
      </c>
      <c r="I20" s="1" t="n">
        <f aca="false">I$16/F20</f>
        <v>28</v>
      </c>
      <c r="J20" s="1" t="n">
        <v>32</v>
      </c>
      <c r="K20" s="1" t="n">
        <f aca="false">H20*I20*J20</f>
        <v>25088</v>
      </c>
      <c r="L20" s="3" t="n">
        <f aca="false">C20*D20*J16*J20</f>
        <v>8192</v>
      </c>
      <c r="M20" s="8"/>
      <c r="N20" s="8" t="n">
        <f aca="false">M20/1024</f>
        <v>0</v>
      </c>
      <c r="O20" s="3" t="n">
        <f aca="false">L20*H20*I20</f>
        <v>6422528</v>
      </c>
      <c r="P20" s="8"/>
      <c r="Q20" s="8" t="n">
        <f aca="false">P20/1024/1024</f>
        <v>0</v>
      </c>
      <c r="R20" s="9" t="n">
        <f aca="false">P20/P$86</f>
        <v>0</v>
      </c>
    </row>
    <row r="21" customFormat="false" ht="12.8" hidden="false" customHeight="false" outlineLevel="0" collapsed="false">
      <c r="A21" s="1" t="n">
        <v>18</v>
      </c>
      <c r="B21" s="1" t="s">
        <v>163</v>
      </c>
      <c r="C21" s="1" t="n">
        <v>5</v>
      </c>
      <c r="D21" s="1" t="n">
        <v>5</v>
      </c>
      <c r="E21" s="1" t="n">
        <v>1</v>
      </c>
      <c r="F21" s="1" t="n">
        <v>1</v>
      </c>
      <c r="G21" s="1" t="s">
        <v>23</v>
      </c>
      <c r="H21" s="1" t="n">
        <f aca="false">H20/E21</f>
        <v>28</v>
      </c>
      <c r="I21" s="1" t="n">
        <f aca="false">I20/F21</f>
        <v>28</v>
      </c>
      <c r="J21" s="1" t="n">
        <v>96</v>
      </c>
      <c r="K21" s="1" t="n">
        <f aca="false">H21*I21*J21</f>
        <v>75264</v>
      </c>
      <c r="L21" s="3" t="n">
        <f aca="false">C21*D21*J20*J21</f>
        <v>76800</v>
      </c>
      <c r="M21" s="8"/>
      <c r="N21" s="8" t="n">
        <f aca="false">M21/1024</f>
        <v>0</v>
      </c>
      <c r="O21" s="3" t="n">
        <f aca="false">L21*H21*I21</f>
        <v>60211200</v>
      </c>
      <c r="P21" s="8"/>
      <c r="Q21" s="8" t="n">
        <f aca="false">P21/1024/1024</f>
        <v>0</v>
      </c>
      <c r="R21" s="9" t="n">
        <f aca="false">P21/P$86</f>
        <v>0</v>
      </c>
    </row>
    <row r="22" customFormat="false" ht="12.8" hidden="false" customHeight="false" outlineLevel="0" collapsed="false">
      <c r="A22" s="1" t="n">
        <v>19</v>
      </c>
      <c r="B22" s="1" t="s">
        <v>164</v>
      </c>
      <c r="C22" s="1" t="n">
        <v>3</v>
      </c>
      <c r="D22" s="1" t="n">
        <v>3</v>
      </c>
      <c r="E22" s="1" t="n">
        <v>1</v>
      </c>
      <c r="F22" s="1" t="n">
        <v>1</v>
      </c>
      <c r="G22" s="1" t="s">
        <v>23</v>
      </c>
      <c r="H22" s="1" t="n">
        <f aca="false">H$16/E22</f>
        <v>28</v>
      </c>
      <c r="I22" s="1" t="n">
        <f aca="false">I$16/F22</f>
        <v>28</v>
      </c>
      <c r="J22" s="1" t="n">
        <f aca="false">J16</f>
        <v>256</v>
      </c>
      <c r="K22" s="1" t="n">
        <f aca="false">H22*I22*J22</f>
        <v>200704</v>
      </c>
      <c r="L22" s="3"/>
      <c r="M22" s="8"/>
      <c r="N22" s="8" t="n">
        <f aca="false">M22/1024</f>
        <v>0</v>
      </c>
      <c r="O22" s="3"/>
      <c r="P22" s="8"/>
      <c r="Q22" s="8" t="n">
        <f aca="false">P22/1024/1024</f>
        <v>0</v>
      </c>
      <c r="R22" s="9" t="n">
        <f aca="false">P22/P$86</f>
        <v>0</v>
      </c>
    </row>
    <row r="23" customFormat="false" ht="12.8" hidden="false" customHeight="false" outlineLevel="0" collapsed="false">
      <c r="A23" s="1" t="n">
        <v>20</v>
      </c>
      <c r="B23" s="1" t="s">
        <v>165</v>
      </c>
      <c r="C23" s="1" t="n">
        <v>1</v>
      </c>
      <c r="D23" s="1" t="n">
        <v>1</v>
      </c>
      <c r="E23" s="1" t="n">
        <v>1</v>
      </c>
      <c r="F23" s="1" t="n">
        <v>1</v>
      </c>
      <c r="G23" s="1" t="s">
        <v>23</v>
      </c>
      <c r="H23" s="1" t="n">
        <f aca="false">H22/E23</f>
        <v>28</v>
      </c>
      <c r="I23" s="1" t="n">
        <f aca="false">I22/F23</f>
        <v>28</v>
      </c>
      <c r="J23" s="1" t="n">
        <v>64</v>
      </c>
      <c r="K23" s="1" t="n">
        <f aca="false">H23*I23*J23</f>
        <v>50176</v>
      </c>
      <c r="L23" s="3" t="n">
        <f aca="false">C23*D23*J22*J23</f>
        <v>16384</v>
      </c>
      <c r="M23" s="8"/>
      <c r="N23" s="8" t="n">
        <f aca="false">M23/1024</f>
        <v>0</v>
      </c>
      <c r="O23" s="3" t="n">
        <f aca="false">L23*H23*I23</f>
        <v>12845056</v>
      </c>
      <c r="P23" s="8"/>
      <c r="Q23" s="8" t="n">
        <f aca="false">P23/1024/1024</f>
        <v>0</v>
      </c>
      <c r="R23" s="9" t="n">
        <f aca="false">P23/P$86</f>
        <v>0</v>
      </c>
    </row>
    <row r="24" customFormat="false" ht="12.8" hidden="false" customHeight="false" outlineLevel="0" collapsed="false">
      <c r="A24" s="1" t="n">
        <v>21</v>
      </c>
      <c r="B24" s="1" t="s">
        <v>158</v>
      </c>
      <c r="H24" s="1" t="n">
        <f aca="false">H23</f>
        <v>28</v>
      </c>
      <c r="I24" s="1" t="n">
        <f aca="false">I23</f>
        <v>28</v>
      </c>
      <c r="J24" s="1" t="n">
        <f aca="false">J17+J19+J21+J23</f>
        <v>480</v>
      </c>
      <c r="K24" s="1" t="n">
        <f aca="false">H24*I24*J24</f>
        <v>376320</v>
      </c>
      <c r="L24" s="3"/>
      <c r="M24" s="8"/>
      <c r="N24" s="8" t="n">
        <f aca="false">M24/1024</f>
        <v>0</v>
      </c>
      <c r="O24" s="3"/>
      <c r="P24" s="8"/>
      <c r="Q24" s="8" t="n">
        <f aca="false">P24/1024/1024</f>
        <v>0</v>
      </c>
      <c r="R24" s="9" t="n">
        <f aca="false">P24/P$86</f>
        <v>0</v>
      </c>
    </row>
    <row r="25" customFormat="false" ht="12.8" hidden="false" customHeight="false" outlineLevel="0" collapsed="false">
      <c r="A25" s="1" t="n">
        <v>22</v>
      </c>
      <c r="B25" s="1" t="s">
        <v>166</v>
      </c>
      <c r="C25" s="1" t="n">
        <v>3</v>
      </c>
      <c r="D25" s="1" t="n">
        <v>3</v>
      </c>
      <c r="E25" s="1" t="n">
        <v>2</v>
      </c>
      <c r="F25" s="1" t="n">
        <v>2</v>
      </c>
      <c r="G25" s="1" t="s">
        <v>23</v>
      </c>
      <c r="H25" s="1" t="n">
        <f aca="false">H24/E25</f>
        <v>14</v>
      </c>
      <c r="I25" s="1" t="n">
        <f aca="false">I24/F25</f>
        <v>14</v>
      </c>
      <c r="J25" s="1" t="n">
        <f aca="false">J24</f>
        <v>480</v>
      </c>
      <c r="K25" s="1" t="n">
        <f aca="false">H25*I25*J25</f>
        <v>94080</v>
      </c>
      <c r="L25" s="3"/>
      <c r="M25" s="8"/>
      <c r="N25" s="3"/>
      <c r="O25" s="3"/>
      <c r="P25" s="3"/>
      <c r="Q25" s="3"/>
      <c r="R25" s="4"/>
    </row>
    <row r="26" customFormat="false" ht="12.8" hidden="false" customHeight="false" outlineLevel="0" collapsed="false">
      <c r="A26" s="1" t="n">
        <v>23</v>
      </c>
      <c r="B26" s="1" t="s">
        <v>167</v>
      </c>
      <c r="C26" s="1" t="n">
        <v>1</v>
      </c>
      <c r="D26" s="1" t="n">
        <v>1</v>
      </c>
      <c r="E26" s="1" t="n">
        <v>1</v>
      </c>
      <c r="F26" s="1" t="n">
        <v>1</v>
      </c>
      <c r="G26" s="1" t="s">
        <v>23</v>
      </c>
      <c r="H26" s="1" t="n">
        <f aca="false">H25/E26</f>
        <v>14</v>
      </c>
      <c r="I26" s="1" t="n">
        <f aca="false">I25/F26</f>
        <v>14</v>
      </c>
      <c r="J26" s="1" t="n">
        <v>192</v>
      </c>
      <c r="K26" s="1" t="n">
        <f aca="false">H26*I26*J26</f>
        <v>37632</v>
      </c>
      <c r="L26" s="3" t="n">
        <f aca="false">C26*D26*J25*J26</f>
        <v>92160</v>
      </c>
      <c r="M26" s="8" t="n">
        <f aca="false">SUM(L26:L33)</f>
        <v>375552</v>
      </c>
      <c r="N26" s="8" t="n">
        <f aca="false">M26/1024</f>
        <v>366.75</v>
      </c>
      <c r="O26" s="3" t="n">
        <f aca="false">L26*H26*I26</f>
        <v>18063360</v>
      </c>
      <c r="P26" s="8" t="n">
        <f aca="false">SUM(O26:O33)</f>
        <v>73608192</v>
      </c>
      <c r="Q26" s="8" t="n">
        <f aca="false">P26/1024/1024</f>
        <v>70.1982421875</v>
      </c>
      <c r="R26" s="9" t="n">
        <f aca="false">P26/P$86</f>
        <v>0.0465088141782556</v>
      </c>
    </row>
    <row r="27" customFormat="false" ht="12.8" hidden="false" customHeight="false" outlineLevel="0" collapsed="false">
      <c r="A27" s="1" t="n">
        <v>24</v>
      </c>
      <c r="B27" s="1" t="s">
        <v>168</v>
      </c>
      <c r="C27" s="1" t="n">
        <v>1</v>
      </c>
      <c r="D27" s="1" t="n">
        <v>1</v>
      </c>
      <c r="E27" s="1" t="n">
        <v>1</v>
      </c>
      <c r="F27" s="1" t="n">
        <v>1</v>
      </c>
      <c r="G27" s="1" t="s">
        <v>23</v>
      </c>
      <c r="H27" s="1" t="n">
        <f aca="false">H25/E27</f>
        <v>14</v>
      </c>
      <c r="I27" s="1" t="n">
        <f aca="false">I25/F27</f>
        <v>14</v>
      </c>
      <c r="J27" s="1" t="n">
        <v>96</v>
      </c>
      <c r="K27" s="1" t="n">
        <f aca="false">H27*I27*J27</f>
        <v>18816</v>
      </c>
      <c r="L27" s="3" t="n">
        <f aca="false">C27*D27*J25*J27</f>
        <v>46080</v>
      </c>
      <c r="M27" s="8"/>
      <c r="N27" s="8" t="n">
        <f aca="false">M27/1024</f>
        <v>0</v>
      </c>
      <c r="O27" s="3" t="n">
        <f aca="false">L27*H27*I27</f>
        <v>9031680</v>
      </c>
      <c r="P27" s="8"/>
      <c r="Q27" s="8" t="n">
        <f aca="false">P27/1024/1024</f>
        <v>0</v>
      </c>
      <c r="R27" s="9" t="n">
        <f aca="false">P27/P$86</f>
        <v>0</v>
      </c>
    </row>
    <row r="28" customFormat="false" ht="12.8" hidden="false" customHeight="false" outlineLevel="0" collapsed="false">
      <c r="A28" s="1" t="n">
        <v>25</v>
      </c>
      <c r="B28" s="1" t="s">
        <v>169</v>
      </c>
      <c r="C28" s="1" t="n">
        <v>3</v>
      </c>
      <c r="D28" s="1" t="n">
        <v>3</v>
      </c>
      <c r="E28" s="1" t="n">
        <v>1</v>
      </c>
      <c r="F28" s="1" t="n">
        <v>1</v>
      </c>
      <c r="G28" s="1" t="s">
        <v>23</v>
      </c>
      <c r="H28" s="1" t="n">
        <f aca="false">H27/E28</f>
        <v>14</v>
      </c>
      <c r="I28" s="1" t="n">
        <f aca="false">I27/F28</f>
        <v>14</v>
      </c>
      <c r="J28" s="1" t="n">
        <v>208</v>
      </c>
      <c r="K28" s="1" t="n">
        <f aca="false">H28*I28*J28</f>
        <v>40768</v>
      </c>
      <c r="L28" s="3" t="n">
        <f aca="false">C28*D28*J27*J28</f>
        <v>179712</v>
      </c>
      <c r="M28" s="8"/>
      <c r="N28" s="8" t="n">
        <f aca="false">M28/1024</f>
        <v>0</v>
      </c>
      <c r="O28" s="3" t="n">
        <f aca="false">L28*H28*I28</f>
        <v>35223552</v>
      </c>
      <c r="P28" s="8"/>
      <c r="Q28" s="8" t="n">
        <f aca="false">P28/1024/1024</f>
        <v>0</v>
      </c>
      <c r="R28" s="9" t="n">
        <f aca="false">P28/P$86</f>
        <v>0</v>
      </c>
    </row>
    <row r="29" customFormat="false" ht="12.8" hidden="false" customHeight="false" outlineLevel="0" collapsed="false">
      <c r="A29" s="1" t="n">
        <v>26</v>
      </c>
      <c r="B29" s="1" t="s">
        <v>170</v>
      </c>
      <c r="C29" s="1" t="n">
        <v>1</v>
      </c>
      <c r="D29" s="1" t="n">
        <v>1</v>
      </c>
      <c r="E29" s="1" t="n">
        <v>1</v>
      </c>
      <c r="F29" s="1" t="n">
        <v>1</v>
      </c>
      <c r="G29" s="1" t="s">
        <v>23</v>
      </c>
      <c r="H29" s="1" t="n">
        <f aca="false">H25/E29</f>
        <v>14</v>
      </c>
      <c r="I29" s="1" t="n">
        <f aca="false">I25/F29</f>
        <v>14</v>
      </c>
      <c r="J29" s="1" t="n">
        <v>16</v>
      </c>
      <c r="K29" s="1" t="n">
        <f aca="false">H29*I29*J29</f>
        <v>3136</v>
      </c>
      <c r="L29" s="3" t="n">
        <f aca="false">C29*D29*J25*J29</f>
        <v>7680</v>
      </c>
      <c r="M29" s="8"/>
      <c r="N29" s="8" t="n">
        <f aca="false">M29/1024</f>
        <v>0</v>
      </c>
      <c r="O29" s="3" t="n">
        <f aca="false">L29*H29*I29</f>
        <v>1505280</v>
      </c>
      <c r="P29" s="8"/>
      <c r="Q29" s="8" t="n">
        <f aca="false">P29/1024/1024</f>
        <v>0</v>
      </c>
      <c r="R29" s="9" t="n">
        <f aca="false">P29/P$86</f>
        <v>0</v>
      </c>
    </row>
    <row r="30" customFormat="false" ht="12.8" hidden="false" customHeight="false" outlineLevel="0" collapsed="false">
      <c r="A30" s="1" t="n">
        <v>27</v>
      </c>
      <c r="B30" s="1" t="s">
        <v>171</v>
      </c>
      <c r="C30" s="1" t="n">
        <v>5</v>
      </c>
      <c r="D30" s="1" t="n">
        <v>5</v>
      </c>
      <c r="E30" s="1" t="n">
        <v>1</v>
      </c>
      <c r="F30" s="1" t="n">
        <v>1</v>
      </c>
      <c r="G30" s="1" t="s">
        <v>23</v>
      </c>
      <c r="H30" s="1" t="n">
        <f aca="false">H29/E30</f>
        <v>14</v>
      </c>
      <c r="I30" s="1" t="n">
        <f aca="false">I29/F30</f>
        <v>14</v>
      </c>
      <c r="J30" s="1" t="n">
        <v>48</v>
      </c>
      <c r="K30" s="1" t="n">
        <f aca="false">H30*I30*J30</f>
        <v>9408</v>
      </c>
      <c r="L30" s="3" t="n">
        <f aca="false">C30*D30*J29*J30</f>
        <v>19200</v>
      </c>
      <c r="M30" s="8"/>
      <c r="N30" s="8" t="n">
        <f aca="false">M30/1024</f>
        <v>0</v>
      </c>
      <c r="O30" s="3" t="n">
        <f aca="false">L30*H30*I30</f>
        <v>3763200</v>
      </c>
      <c r="P30" s="8"/>
      <c r="Q30" s="8" t="n">
        <f aca="false">P30/1024/1024</f>
        <v>0</v>
      </c>
      <c r="R30" s="9" t="n">
        <f aca="false">P30/P$86</f>
        <v>0</v>
      </c>
    </row>
    <row r="31" customFormat="false" ht="12.8" hidden="false" customHeight="false" outlineLevel="0" collapsed="false">
      <c r="A31" s="1" t="n">
        <v>28</v>
      </c>
      <c r="B31" s="1" t="s">
        <v>172</v>
      </c>
      <c r="C31" s="1" t="n">
        <v>3</v>
      </c>
      <c r="D31" s="1" t="n">
        <v>3</v>
      </c>
      <c r="E31" s="1" t="n">
        <v>1</v>
      </c>
      <c r="F31" s="1" t="n">
        <v>1</v>
      </c>
      <c r="G31" s="1" t="s">
        <v>23</v>
      </c>
      <c r="H31" s="1" t="n">
        <f aca="false">H25/E31</f>
        <v>14</v>
      </c>
      <c r="I31" s="1" t="n">
        <f aca="false">I25/F31</f>
        <v>14</v>
      </c>
      <c r="J31" s="1" t="n">
        <f aca="false">J25</f>
        <v>480</v>
      </c>
      <c r="K31" s="1" t="n">
        <f aca="false">H31*I31*J31</f>
        <v>94080</v>
      </c>
      <c r="L31" s="3"/>
      <c r="M31" s="8"/>
      <c r="N31" s="8" t="n">
        <f aca="false">M31/1024</f>
        <v>0</v>
      </c>
      <c r="O31" s="3"/>
      <c r="P31" s="8"/>
      <c r="Q31" s="8" t="n">
        <f aca="false">P31/1024/1024</f>
        <v>0</v>
      </c>
      <c r="R31" s="9" t="n">
        <f aca="false">P31/P$86</f>
        <v>0</v>
      </c>
    </row>
    <row r="32" customFormat="false" ht="12.8" hidden="false" customHeight="false" outlineLevel="0" collapsed="false">
      <c r="A32" s="1" t="n">
        <v>29</v>
      </c>
      <c r="B32" s="1" t="s">
        <v>173</v>
      </c>
      <c r="C32" s="1" t="n">
        <v>1</v>
      </c>
      <c r="D32" s="1" t="n">
        <v>1</v>
      </c>
      <c r="E32" s="1" t="n">
        <v>1</v>
      </c>
      <c r="F32" s="1" t="n">
        <v>1</v>
      </c>
      <c r="G32" s="1" t="s">
        <v>23</v>
      </c>
      <c r="H32" s="1" t="n">
        <f aca="false">H31/E32</f>
        <v>14</v>
      </c>
      <c r="I32" s="1" t="n">
        <f aca="false">I31/F32</f>
        <v>14</v>
      </c>
      <c r="J32" s="1" t="n">
        <v>64</v>
      </c>
      <c r="K32" s="1" t="n">
        <f aca="false">H32*I32*J32</f>
        <v>12544</v>
      </c>
      <c r="L32" s="3" t="n">
        <f aca="false">C32*D32*J31*J32</f>
        <v>30720</v>
      </c>
      <c r="M32" s="8"/>
      <c r="N32" s="8" t="n">
        <f aca="false">M32/1024</f>
        <v>0</v>
      </c>
      <c r="O32" s="3" t="n">
        <f aca="false">L32*H32*I32</f>
        <v>6021120</v>
      </c>
      <c r="P32" s="8"/>
      <c r="Q32" s="8" t="n">
        <f aca="false">P32/1024/1024</f>
        <v>0</v>
      </c>
      <c r="R32" s="9" t="n">
        <f aca="false">P32/P$86</f>
        <v>0</v>
      </c>
    </row>
    <row r="33" customFormat="false" ht="12.8" hidden="false" customHeight="false" outlineLevel="0" collapsed="false">
      <c r="A33" s="1" t="n">
        <v>30</v>
      </c>
      <c r="B33" s="1" t="s">
        <v>174</v>
      </c>
      <c r="H33" s="1" t="n">
        <f aca="false">H32</f>
        <v>14</v>
      </c>
      <c r="I33" s="1" t="n">
        <f aca="false">I32</f>
        <v>14</v>
      </c>
      <c r="J33" s="1" t="n">
        <f aca="false">J26+J28+J30+J32</f>
        <v>512</v>
      </c>
      <c r="K33" s="1" t="n">
        <f aca="false">H33*I33*J33</f>
        <v>100352</v>
      </c>
      <c r="L33" s="3"/>
      <c r="M33" s="8"/>
      <c r="N33" s="8" t="n">
        <f aca="false">M33/1024</f>
        <v>0</v>
      </c>
      <c r="O33" s="3"/>
      <c r="P33" s="8"/>
      <c r="Q33" s="8" t="n">
        <f aca="false">P33/1024/1024</f>
        <v>0</v>
      </c>
      <c r="R33" s="9" t="n">
        <f aca="false">P33/P$86</f>
        <v>0</v>
      </c>
    </row>
    <row r="34" customFormat="false" ht="12.8" hidden="false" customHeight="false" outlineLevel="0" collapsed="false">
      <c r="A34" s="1" t="n">
        <v>31</v>
      </c>
      <c r="B34" s="1" t="s">
        <v>175</v>
      </c>
      <c r="C34" s="1" t="n">
        <v>1</v>
      </c>
      <c r="D34" s="1" t="n">
        <v>1</v>
      </c>
      <c r="E34" s="1" t="n">
        <v>1</v>
      </c>
      <c r="F34" s="1" t="n">
        <v>1</v>
      </c>
      <c r="G34" s="1" t="s">
        <v>23</v>
      </c>
      <c r="H34" s="1" t="n">
        <f aca="false">H33/E34</f>
        <v>14</v>
      </c>
      <c r="I34" s="1" t="n">
        <f aca="false">I33/F34</f>
        <v>14</v>
      </c>
      <c r="J34" s="1" t="n">
        <v>160</v>
      </c>
      <c r="K34" s="1" t="n">
        <f aca="false">H34*I34*J34</f>
        <v>31360</v>
      </c>
      <c r="L34" s="3" t="n">
        <f aca="false">C34*D34*J33*J34</f>
        <v>81920</v>
      </c>
      <c r="M34" s="10" t="n">
        <f aca="false">SUM(L34:L41)</f>
        <v>448512</v>
      </c>
      <c r="N34" s="8" t="n">
        <f aca="false">M34/1024</f>
        <v>438</v>
      </c>
      <c r="O34" s="3" t="n">
        <f aca="false">L34*H34*I34</f>
        <v>16056320</v>
      </c>
      <c r="P34" s="8" t="n">
        <f aca="false">SUM(O34:O41)</f>
        <v>87908352</v>
      </c>
      <c r="Q34" s="8" t="n">
        <f aca="false">P34/1024/1024</f>
        <v>83.8359375</v>
      </c>
      <c r="R34" s="9" t="n">
        <f aca="false">P34/P$86</f>
        <v>0.0555442688754628</v>
      </c>
    </row>
    <row r="35" customFormat="false" ht="12.8" hidden="false" customHeight="false" outlineLevel="0" collapsed="false">
      <c r="A35" s="1" t="n">
        <v>32</v>
      </c>
      <c r="B35" s="1" t="s">
        <v>176</v>
      </c>
      <c r="C35" s="1" t="n">
        <v>1</v>
      </c>
      <c r="D35" s="1" t="n">
        <v>1</v>
      </c>
      <c r="E35" s="1" t="n">
        <v>1</v>
      </c>
      <c r="F35" s="1" t="n">
        <v>1</v>
      </c>
      <c r="G35" s="1" t="s">
        <v>23</v>
      </c>
      <c r="H35" s="1" t="n">
        <f aca="false">H33/E35</f>
        <v>14</v>
      </c>
      <c r="I35" s="1" t="n">
        <f aca="false">I33/F35</f>
        <v>14</v>
      </c>
      <c r="J35" s="1" t="n">
        <v>112</v>
      </c>
      <c r="K35" s="1" t="n">
        <f aca="false">H35*I35*J35</f>
        <v>21952</v>
      </c>
      <c r="L35" s="3" t="n">
        <f aca="false">C35*D35*J33*J35</f>
        <v>57344</v>
      </c>
      <c r="M35" s="10"/>
      <c r="N35" s="8" t="n">
        <f aca="false">M35/1024</f>
        <v>0</v>
      </c>
      <c r="O35" s="3" t="n">
        <f aca="false">L35*H35*I35</f>
        <v>11239424</v>
      </c>
      <c r="P35" s="8"/>
      <c r="Q35" s="8" t="n">
        <f aca="false">P35/1024/1024</f>
        <v>0</v>
      </c>
      <c r="R35" s="9" t="n">
        <f aca="false">P35/P$86</f>
        <v>0</v>
      </c>
    </row>
    <row r="36" customFormat="false" ht="12.8" hidden="false" customHeight="false" outlineLevel="0" collapsed="false">
      <c r="A36" s="1" t="n">
        <v>33</v>
      </c>
      <c r="B36" s="1" t="s">
        <v>177</v>
      </c>
      <c r="C36" s="1" t="n">
        <v>3</v>
      </c>
      <c r="D36" s="1" t="n">
        <v>3</v>
      </c>
      <c r="E36" s="1" t="n">
        <v>1</v>
      </c>
      <c r="F36" s="1" t="n">
        <v>1</v>
      </c>
      <c r="G36" s="1" t="s">
        <v>23</v>
      </c>
      <c r="H36" s="1" t="n">
        <f aca="false">H35/E36</f>
        <v>14</v>
      </c>
      <c r="I36" s="1" t="n">
        <f aca="false">I35/F36</f>
        <v>14</v>
      </c>
      <c r="J36" s="1" t="n">
        <v>224</v>
      </c>
      <c r="K36" s="1" t="n">
        <f aca="false">H36*I36*J36</f>
        <v>43904</v>
      </c>
      <c r="L36" s="3" t="n">
        <f aca="false">C36*D36*J35*J36</f>
        <v>225792</v>
      </c>
      <c r="M36" s="10"/>
      <c r="N36" s="8" t="n">
        <f aca="false">M36/1024</f>
        <v>0</v>
      </c>
      <c r="O36" s="3" t="n">
        <f aca="false">L36*H36*I36</f>
        <v>44255232</v>
      </c>
      <c r="P36" s="8"/>
      <c r="Q36" s="8" t="n">
        <f aca="false">P36/1024/1024</f>
        <v>0</v>
      </c>
      <c r="R36" s="9" t="n">
        <f aca="false">P36/P$86</f>
        <v>0</v>
      </c>
    </row>
    <row r="37" customFormat="false" ht="12.8" hidden="false" customHeight="false" outlineLevel="0" collapsed="false">
      <c r="A37" s="1" t="n">
        <v>34</v>
      </c>
      <c r="B37" s="1" t="s">
        <v>178</v>
      </c>
      <c r="C37" s="1" t="n">
        <v>1</v>
      </c>
      <c r="D37" s="1" t="n">
        <v>1</v>
      </c>
      <c r="E37" s="1" t="n">
        <v>1</v>
      </c>
      <c r="F37" s="1" t="n">
        <v>1</v>
      </c>
      <c r="G37" s="1" t="s">
        <v>23</v>
      </c>
      <c r="H37" s="1" t="n">
        <f aca="false">H33/E37</f>
        <v>14</v>
      </c>
      <c r="I37" s="1" t="n">
        <f aca="false">I33/F37</f>
        <v>14</v>
      </c>
      <c r="J37" s="1" t="n">
        <v>24</v>
      </c>
      <c r="K37" s="1" t="n">
        <f aca="false">H37*I37*J37</f>
        <v>4704</v>
      </c>
      <c r="L37" s="3" t="n">
        <f aca="false">C37*D37*J33*J37</f>
        <v>12288</v>
      </c>
      <c r="M37" s="10"/>
      <c r="N37" s="8" t="n">
        <f aca="false">M37/1024</f>
        <v>0</v>
      </c>
      <c r="O37" s="3" t="n">
        <f aca="false">L37*H37*I37</f>
        <v>2408448</v>
      </c>
      <c r="P37" s="8"/>
      <c r="Q37" s="8" t="n">
        <f aca="false">P37/1024/1024</f>
        <v>0</v>
      </c>
      <c r="R37" s="9" t="n">
        <f aca="false">P37/P$86</f>
        <v>0</v>
      </c>
    </row>
    <row r="38" customFormat="false" ht="12.8" hidden="false" customHeight="false" outlineLevel="0" collapsed="false">
      <c r="A38" s="1" t="n">
        <v>35</v>
      </c>
      <c r="B38" s="1" t="s">
        <v>179</v>
      </c>
      <c r="C38" s="1" t="n">
        <v>5</v>
      </c>
      <c r="D38" s="1" t="n">
        <v>5</v>
      </c>
      <c r="E38" s="1" t="n">
        <v>1</v>
      </c>
      <c r="F38" s="1" t="n">
        <v>1</v>
      </c>
      <c r="G38" s="1" t="s">
        <v>23</v>
      </c>
      <c r="H38" s="1" t="n">
        <f aca="false">H37/E38</f>
        <v>14</v>
      </c>
      <c r="I38" s="1" t="n">
        <f aca="false">I37/F38</f>
        <v>14</v>
      </c>
      <c r="J38" s="1" t="n">
        <v>64</v>
      </c>
      <c r="K38" s="1" t="n">
        <f aca="false">H38*I38*J38</f>
        <v>12544</v>
      </c>
      <c r="L38" s="3" t="n">
        <f aca="false">C38*D38*J37*J38</f>
        <v>38400</v>
      </c>
      <c r="M38" s="10"/>
      <c r="N38" s="8" t="n">
        <f aca="false">M38/1024</f>
        <v>0</v>
      </c>
      <c r="O38" s="3" t="n">
        <f aca="false">L38*H38*I38</f>
        <v>7526400</v>
      </c>
      <c r="P38" s="8"/>
      <c r="Q38" s="8" t="n">
        <f aca="false">P38/1024/1024</f>
        <v>0</v>
      </c>
      <c r="R38" s="9" t="n">
        <f aca="false">P38/P$86</f>
        <v>0</v>
      </c>
    </row>
    <row r="39" customFormat="false" ht="12.8" hidden="false" customHeight="false" outlineLevel="0" collapsed="false">
      <c r="A39" s="1" t="n">
        <v>36</v>
      </c>
      <c r="B39" s="1" t="s">
        <v>180</v>
      </c>
      <c r="C39" s="1" t="n">
        <v>3</v>
      </c>
      <c r="D39" s="1" t="n">
        <v>3</v>
      </c>
      <c r="E39" s="1" t="n">
        <v>1</v>
      </c>
      <c r="F39" s="1" t="n">
        <v>1</v>
      </c>
      <c r="G39" s="1" t="s">
        <v>23</v>
      </c>
      <c r="H39" s="1" t="n">
        <f aca="false">H33/E39</f>
        <v>14</v>
      </c>
      <c r="I39" s="1" t="n">
        <f aca="false">I33/F39</f>
        <v>14</v>
      </c>
      <c r="J39" s="1" t="n">
        <f aca="false">J33</f>
        <v>512</v>
      </c>
      <c r="K39" s="1" t="n">
        <f aca="false">H39*I39*J39</f>
        <v>100352</v>
      </c>
      <c r="L39" s="3"/>
      <c r="M39" s="10"/>
      <c r="N39" s="8" t="n">
        <f aca="false">M39/1024</f>
        <v>0</v>
      </c>
      <c r="O39" s="3"/>
      <c r="P39" s="8"/>
      <c r="Q39" s="8" t="n">
        <f aca="false">P39/1024/1024</f>
        <v>0</v>
      </c>
      <c r="R39" s="9" t="n">
        <f aca="false">P39/P$86</f>
        <v>0</v>
      </c>
    </row>
    <row r="40" customFormat="false" ht="12.8" hidden="false" customHeight="false" outlineLevel="0" collapsed="false">
      <c r="A40" s="1" t="n">
        <v>37</v>
      </c>
      <c r="B40" s="1" t="s">
        <v>181</v>
      </c>
      <c r="C40" s="1" t="n">
        <v>1</v>
      </c>
      <c r="D40" s="1" t="n">
        <v>1</v>
      </c>
      <c r="E40" s="1" t="n">
        <v>1</v>
      </c>
      <c r="F40" s="1" t="n">
        <v>1</v>
      </c>
      <c r="G40" s="1" t="s">
        <v>23</v>
      </c>
      <c r="H40" s="1" t="n">
        <f aca="false">H39/E40</f>
        <v>14</v>
      </c>
      <c r="I40" s="1" t="n">
        <f aca="false">I39/F40</f>
        <v>14</v>
      </c>
      <c r="J40" s="1" t="n">
        <v>64</v>
      </c>
      <c r="K40" s="1" t="n">
        <f aca="false">H40*I40*J40</f>
        <v>12544</v>
      </c>
      <c r="L40" s="3" t="n">
        <f aca="false">C40*D40*J39*J40</f>
        <v>32768</v>
      </c>
      <c r="M40" s="10"/>
      <c r="N40" s="8" t="n">
        <f aca="false">M40/1024</f>
        <v>0</v>
      </c>
      <c r="O40" s="3" t="n">
        <f aca="false">L40*H40*I40</f>
        <v>6422528</v>
      </c>
      <c r="P40" s="8"/>
      <c r="Q40" s="8" t="n">
        <f aca="false">P40/1024/1024</f>
        <v>0</v>
      </c>
      <c r="R40" s="9" t="n">
        <f aca="false">P40/P$86</f>
        <v>0</v>
      </c>
    </row>
    <row r="41" customFormat="false" ht="12.8" hidden="false" customHeight="false" outlineLevel="0" collapsed="false">
      <c r="A41" s="1" t="n">
        <v>38</v>
      </c>
      <c r="B41" s="1" t="s">
        <v>182</v>
      </c>
      <c r="H41" s="1" t="n">
        <f aca="false">H40</f>
        <v>14</v>
      </c>
      <c r="I41" s="1" t="n">
        <f aca="false">I40</f>
        <v>14</v>
      </c>
      <c r="J41" s="1" t="n">
        <f aca="false">J34+J36+J38+J40</f>
        <v>512</v>
      </c>
      <c r="K41" s="1" t="n">
        <f aca="false">H41*I41*J41</f>
        <v>100352</v>
      </c>
      <c r="L41" s="3"/>
      <c r="M41" s="10"/>
      <c r="N41" s="8" t="n">
        <f aca="false">M41/1024</f>
        <v>0</v>
      </c>
      <c r="O41" s="3"/>
      <c r="P41" s="8"/>
      <c r="Q41" s="8" t="n">
        <f aca="false">P41/1024/1024</f>
        <v>0</v>
      </c>
      <c r="R41" s="9" t="n">
        <f aca="false">P41/P$86</f>
        <v>0</v>
      </c>
    </row>
    <row r="42" customFormat="false" ht="12.8" hidden="false" customHeight="false" outlineLevel="0" collapsed="false">
      <c r="A42" s="1" t="n">
        <v>39</v>
      </c>
      <c r="B42" s="1" t="s">
        <v>183</v>
      </c>
      <c r="C42" s="1" t="n">
        <v>1</v>
      </c>
      <c r="D42" s="1" t="n">
        <v>1</v>
      </c>
      <c r="E42" s="1" t="n">
        <v>1</v>
      </c>
      <c r="F42" s="1" t="n">
        <v>1</v>
      </c>
      <c r="G42" s="1" t="s">
        <v>23</v>
      </c>
      <c r="H42" s="1" t="n">
        <f aca="false">H41/E42</f>
        <v>14</v>
      </c>
      <c r="I42" s="1" t="n">
        <f aca="false">I41/F42</f>
        <v>14</v>
      </c>
      <c r="J42" s="1" t="n">
        <v>128</v>
      </c>
      <c r="K42" s="1" t="n">
        <f aca="false">H42*I42*J42</f>
        <v>25088</v>
      </c>
      <c r="L42" s="3" t="n">
        <f aca="false">C42*D42*J41*J42</f>
        <v>65536</v>
      </c>
      <c r="M42" s="10" t="n">
        <f aca="false">SUM(L42:L49)</f>
        <v>509440</v>
      </c>
      <c r="N42" s="8" t="n">
        <f aca="false">M42/1024</f>
        <v>497.5</v>
      </c>
      <c r="O42" s="3" t="n">
        <f aca="false">L42*H42*I42</f>
        <v>12845056</v>
      </c>
      <c r="P42" s="8" t="n">
        <f aca="false">SUM(O42:O49)</f>
        <v>99850240</v>
      </c>
      <c r="Q42" s="8" t="n">
        <f aca="false">P42/1024/1024</f>
        <v>95.224609375</v>
      </c>
      <c r="R42" s="9" t="n">
        <f aca="false">P42/P$86</f>
        <v>0.0630896661313761</v>
      </c>
    </row>
    <row r="43" customFormat="false" ht="12.8" hidden="false" customHeight="false" outlineLevel="0" collapsed="false">
      <c r="A43" s="1" t="n">
        <v>40</v>
      </c>
      <c r="B43" s="1" t="s">
        <v>184</v>
      </c>
      <c r="C43" s="1" t="n">
        <v>1</v>
      </c>
      <c r="D43" s="1" t="n">
        <v>1</v>
      </c>
      <c r="E43" s="1" t="n">
        <v>1</v>
      </c>
      <c r="F43" s="1" t="n">
        <v>1</v>
      </c>
      <c r="G43" s="1" t="s">
        <v>23</v>
      </c>
      <c r="H43" s="1" t="n">
        <f aca="false">H41/E43</f>
        <v>14</v>
      </c>
      <c r="I43" s="1" t="n">
        <f aca="false">I41/F43</f>
        <v>14</v>
      </c>
      <c r="J43" s="1" t="n">
        <v>128</v>
      </c>
      <c r="K43" s="1" t="n">
        <f aca="false">H43*I43*J43</f>
        <v>25088</v>
      </c>
      <c r="L43" s="3" t="n">
        <f aca="false">C43*D43*J41*J43</f>
        <v>65536</v>
      </c>
      <c r="M43" s="10"/>
      <c r="N43" s="8" t="n">
        <f aca="false">M43/1024</f>
        <v>0</v>
      </c>
      <c r="O43" s="3" t="n">
        <f aca="false">L43*H43*I43</f>
        <v>12845056</v>
      </c>
      <c r="P43" s="8"/>
      <c r="Q43" s="8" t="n">
        <f aca="false">P43/1024/1024</f>
        <v>0</v>
      </c>
      <c r="R43" s="9" t="n">
        <f aca="false">P43/P$86</f>
        <v>0</v>
      </c>
    </row>
    <row r="44" customFormat="false" ht="12.8" hidden="false" customHeight="false" outlineLevel="0" collapsed="false">
      <c r="A44" s="1" t="n">
        <v>41</v>
      </c>
      <c r="B44" s="1" t="s">
        <v>185</v>
      </c>
      <c r="C44" s="1" t="n">
        <v>3</v>
      </c>
      <c r="D44" s="1" t="n">
        <v>3</v>
      </c>
      <c r="E44" s="1" t="n">
        <v>1</v>
      </c>
      <c r="F44" s="1" t="n">
        <v>1</v>
      </c>
      <c r="G44" s="1" t="s">
        <v>23</v>
      </c>
      <c r="H44" s="1" t="n">
        <f aca="false">H43/E44</f>
        <v>14</v>
      </c>
      <c r="I44" s="1" t="n">
        <f aca="false">I43/F44</f>
        <v>14</v>
      </c>
      <c r="J44" s="1" t="n">
        <v>256</v>
      </c>
      <c r="K44" s="1" t="n">
        <f aca="false">H44*I44*J44</f>
        <v>50176</v>
      </c>
      <c r="L44" s="3" t="n">
        <f aca="false">C44*D44*J43*J44</f>
        <v>294912</v>
      </c>
      <c r="M44" s="10"/>
      <c r="N44" s="8" t="n">
        <f aca="false">M44/1024</f>
        <v>0</v>
      </c>
      <c r="O44" s="3" t="n">
        <f aca="false">L44*H44*I44</f>
        <v>57802752</v>
      </c>
      <c r="P44" s="8"/>
      <c r="Q44" s="8" t="n">
        <f aca="false">P44/1024/1024</f>
        <v>0</v>
      </c>
      <c r="R44" s="9" t="n">
        <f aca="false">P44/P$86</f>
        <v>0</v>
      </c>
    </row>
    <row r="45" customFormat="false" ht="12.8" hidden="false" customHeight="false" outlineLevel="0" collapsed="false">
      <c r="A45" s="1" t="n">
        <v>42</v>
      </c>
      <c r="B45" s="1" t="s">
        <v>186</v>
      </c>
      <c r="C45" s="1" t="n">
        <v>1</v>
      </c>
      <c r="D45" s="1" t="n">
        <v>1</v>
      </c>
      <c r="E45" s="1" t="n">
        <v>1</v>
      </c>
      <c r="F45" s="1" t="n">
        <v>1</v>
      </c>
      <c r="G45" s="1" t="s">
        <v>23</v>
      </c>
      <c r="H45" s="1" t="n">
        <f aca="false">H41/E45</f>
        <v>14</v>
      </c>
      <c r="I45" s="1" t="n">
        <f aca="false">I41/F45</f>
        <v>14</v>
      </c>
      <c r="J45" s="1" t="n">
        <v>24</v>
      </c>
      <c r="K45" s="1" t="n">
        <f aca="false">H45*I45*J45</f>
        <v>4704</v>
      </c>
      <c r="L45" s="3" t="n">
        <f aca="false">C45*D45*J41*J45</f>
        <v>12288</v>
      </c>
      <c r="M45" s="10"/>
      <c r="N45" s="8" t="n">
        <f aca="false">M45/1024</f>
        <v>0</v>
      </c>
      <c r="O45" s="3" t="n">
        <f aca="false">L45*H45*I45</f>
        <v>2408448</v>
      </c>
      <c r="P45" s="8"/>
      <c r="Q45" s="8" t="n">
        <f aca="false">P45/1024/1024</f>
        <v>0</v>
      </c>
      <c r="R45" s="9" t="n">
        <f aca="false">P45/P$86</f>
        <v>0</v>
      </c>
    </row>
    <row r="46" customFormat="false" ht="12.8" hidden="false" customHeight="false" outlineLevel="0" collapsed="false">
      <c r="A46" s="1" t="n">
        <v>43</v>
      </c>
      <c r="B46" s="1" t="s">
        <v>187</v>
      </c>
      <c r="C46" s="1" t="n">
        <v>5</v>
      </c>
      <c r="D46" s="1" t="n">
        <v>5</v>
      </c>
      <c r="E46" s="1" t="n">
        <v>1</v>
      </c>
      <c r="F46" s="1" t="n">
        <v>1</v>
      </c>
      <c r="G46" s="1" t="s">
        <v>23</v>
      </c>
      <c r="H46" s="1" t="n">
        <f aca="false">H45/E46</f>
        <v>14</v>
      </c>
      <c r="I46" s="1" t="n">
        <f aca="false">I45/F46</f>
        <v>14</v>
      </c>
      <c r="J46" s="1" t="n">
        <v>64</v>
      </c>
      <c r="K46" s="1" t="n">
        <f aca="false">H46*I46*J46</f>
        <v>12544</v>
      </c>
      <c r="L46" s="3" t="n">
        <f aca="false">C46*D46*J45*J46</f>
        <v>38400</v>
      </c>
      <c r="M46" s="10"/>
      <c r="N46" s="8" t="n">
        <f aca="false">M46/1024</f>
        <v>0</v>
      </c>
      <c r="O46" s="3" t="n">
        <f aca="false">L46*H46*I46</f>
        <v>7526400</v>
      </c>
      <c r="P46" s="8"/>
      <c r="Q46" s="8" t="n">
        <f aca="false">P46/1024/1024</f>
        <v>0</v>
      </c>
      <c r="R46" s="9" t="n">
        <f aca="false">P46/P$86</f>
        <v>0</v>
      </c>
    </row>
    <row r="47" customFormat="false" ht="12.8" hidden="false" customHeight="false" outlineLevel="0" collapsed="false">
      <c r="A47" s="1" t="n">
        <v>44</v>
      </c>
      <c r="B47" s="1" t="s">
        <v>188</v>
      </c>
      <c r="C47" s="1" t="n">
        <v>3</v>
      </c>
      <c r="D47" s="1" t="n">
        <v>3</v>
      </c>
      <c r="E47" s="1" t="n">
        <v>1</v>
      </c>
      <c r="F47" s="1" t="n">
        <v>1</v>
      </c>
      <c r="G47" s="1" t="s">
        <v>23</v>
      </c>
      <c r="H47" s="1" t="n">
        <f aca="false">H41/E47</f>
        <v>14</v>
      </c>
      <c r="I47" s="1" t="n">
        <f aca="false">I41/F47</f>
        <v>14</v>
      </c>
      <c r="J47" s="1" t="n">
        <f aca="false">J41</f>
        <v>512</v>
      </c>
      <c r="K47" s="1" t="n">
        <f aca="false">H47*I47*J47</f>
        <v>100352</v>
      </c>
      <c r="L47" s="3"/>
      <c r="M47" s="10"/>
      <c r="N47" s="8" t="n">
        <f aca="false">M47/1024</f>
        <v>0</v>
      </c>
      <c r="O47" s="3"/>
      <c r="P47" s="8"/>
      <c r="Q47" s="8" t="n">
        <f aca="false">P47/1024/1024</f>
        <v>0</v>
      </c>
      <c r="R47" s="9" t="n">
        <f aca="false">P47/P$86</f>
        <v>0</v>
      </c>
    </row>
    <row r="48" customFormat="false" ht="12.8" hidden="false" customHeight="false" outlineLevel="0" collapsed="false">
      <c r="A48" s="1" t="n">
        <v>45</v>
      </c>
      <c r="B48" s="1" t="s">
        <v>189</v>
      </c>
      <c r="C48" s="1" t="n">
        <v>1</v>
      </c>
      <c r="D48" s="1" t="n">
        <v>1</v>
      </c>
      <c r="E48" s="1" t="n">
        <v>1</v>
      </c>
      <c r="F48" s="1" t="n">
        <v>1</v>
      </c>
      <c r="G48" s="1" t="s">
        <v>23</v>
      </c>
      <c r="H48" s="1" t="n">
        <f aca="false">H47/E48</f>
        <v>14</v>
      </c>
      <c r="I48" s="1" t="n">
        <f aca="false">I47/F48</f>
        <v>14</v>
      </c>
      <c r="J48" s="1" t="n">
        <v>64</v>
      </c>
      <c r="K48" s="1" t="n">
        <f aca="false">H48*I48*J48</f>
        <v>12544</v>
      </c>
      <c r="L48" s="3" t="n">
        <f aca="false">C48*D48*J47*J48</f>
        <v>32768</v>
      </c>
      <c r="M48" s="10"/>
      <c r="N48" s="8" t="n">
        <f aca="false">M48/1024</f>
        <v>0</v>
      </c>
      <c r="O48" s="3" t="n">
        <f aca="false">L48*H48*I48</f>
        <v>6422528</v>
      </c>
      <c r="P48" s="8"/>
      <c r="Q48" s="8" t="n">
        <f aca="false">P48/1024/1024</f>
        <v>0</v>
      </c>
      <c r="R48" s="9" t="n">
        <f aca="false">P48/P$86</f>
        <v>0</v>
      </c>
    </row>
    <row r="49" customFormat="false" ht="12.8" hidden="false" customHeight="false" outlineLevel="0" collapsed="false">
      <c r="A49" s="1" t="n">
        <v>46</v>
      </c>
      <c r="B49" s="1" t="s">
        <v>190</v>
      </c>
      <c r="H49" s="1" t="n">
        <f aca="false">H48</f>
        <v>14</v>
      </c>
      <c r="I49" s="1" t="n">
        <f aca="false">I48</f>
        <v>14</v>
      </c>
      <c r="J49" s="1" t="n">
        <f aca="false">J42+J44+J46+J48</f>
        <v>512</v>
      </c>
      <c r="K49" s="1" t="n">
        <f aca="false">H49*I49*J49</f>
        <v>100352</v>
      </c>
      <c r="L49" s="3"/>
      <c r="M49" s="10"/>
      <c r="N49" s="8" t="n">
        <f aca="false">M49/1024</f>
        <v>0</v>
      </c>
      <c r="O49" s="3"/>
      <c r="P49" s="8"/>
      <c r="Q49" s="8" t="n">
        <f aca="false">P49/1024/1024</f>
        <v>0</v>
      </c>
      <c r="R49" s="9" t="n">
        <f aca="false">P49/P$86</f>
        <v>0</v>
      </c>
    </row>
    <row r="50" customFormat="false" ht="12.8" hidden="false" customHeight="false" outlineLevel="0" collapsed="false">
      <c r="A50" s="1" t="n">
        <v>47</v>
      </c>
      <c r="B50" s="1" t="s">
        <v>191</v>
      </c>
      <c r="C50" s="1" t="n">
        <v>1</v>
      </c>
      <c r="D50" s="1" t="n">
        <v>1</v>
      </c>
      <c r="E50" s="1" t="n">
        <v>1</v>
      </c>
      <c r="F50" s="1" t="n">
        <v>1</v>
      </c>
      <c r="G50" s="1" t="s">
        <v>23</v>
      </c>
      <c r="H50" s="1" t="n">
        <f aca="false">H49/E50</f>
        <v>14</v>
      </c>
      <c r="I50" s="1" t="n">
        <f aca="false">I49/F50</f>
        <v>14</v>
      </c>
      <c r="J50" s="1" t="n">
        <v>112</v>
      </c>
      <c r="K50" s="1" t="n">
        <f aca="false">H50*I50*J50</f>
        <v>21952</v>
      </c>
      <c r="L50" s="3" t="n">
        <f aca="false">C50*D50*J49*J50</f>
        <v>57344</v>
      </c>
      <c r="M50" s="10" t="n">
        <f aca="false">SUM(L50:L57)</f>
        <v>604672</v>
      </c>
      <c r="N50" s="8" t="n">
        <f aca="false">M50/1024</f>
        <v>590.5</v>
      </c>
      <c r="O50" s="3" t="n">
        <f aca="false">L50*H50*I50</f>
        <v>11239424</v>
      </c>
      <c r="P50" s="8" t="n">
        <f aca="false">SUM(O50:O57)</f>
        <v>118515712</v>
      </c>
      <c r="Q50" s="8" t="n">
        <f aca="false">P50/1024/1024</f>
        <v>113.025390625</v>
      </c>
      <c r="R50" s="9" t="n">
        <f aca="false">P50/P$86</f>
        <v>0.0748833122624675</v>
      </c>
    </row>
    <row r="51" customFormat="false" ht="12.8" hidden="false" customHeight="false" outlineLevel="0" collapsed="false">
      <c r="A51" s="1" t="n">
        <v>48</v>
      </c>
      <c r="B51" s="1" t="s">
        <v>192</v>
      </c>
      <c r="C51" s="1" t="n">
        <v>1</v>
      </c>
      <c r="D51" s="1" t="n">
        <v>1</v>
      </c>
      <c r="E51" s="1" t="n">
        <v>1</v>
      </c>
      <c r="F51" s="1" t="n">
        <v>1</v>
      </c>
      <c r="G51" s="1" t="s">
        <v>23</v>
      </c>
      <c r="H51" s="1" t="n">
        <f aca="false">H49/E51</f>
        <v>14</v>
      </c>
      <c r="I51" s="1" t="n">
        <f aca="false">I49/F51</f>
        <v>14</v>
      </c>
      <c r="J51" s="1" t="n">
        <v>144</v>
      </c>
      <c r="K51" s="1" t="n">
        <f aca="false">H51*I51*J51</f>
        <v>28224</v>
      </c>
      <c r="L51" s="3" t="n">
        <f aca="false">C51*D51*J49*J51</f>
        <v>73728</v>
      </c>
      <c r="M51" s="10"/>
      <c r="N51" s="8" t="n">
        <f aca="false">M51/1024</f>
        <v>0</v>
      </c>
      <c r="O51" s="3" t="n">
        <f aca="false">L51*H51*I51</f>
        <v>14450688</v>
      </c>
      <c r="P51" s="8"/>
      <c r="Q51" s="8" t="n">
        <f aca="false">P51/1024/1024</f>
        <v>0</v>
      </c>
      <c r="R51" s="9" t="n">
        <f aca="false">P51/P$86</f>
        <v>0</v>
      </c>
    </row>
    <row r="52" customFormat="false" ht="12.8" hidden="false" customHeight="false" outlineLevel="0" collapsed="false">
      <c r="A52" s="1" t="n">
        <v>49</v>
      </c>
      <c r="B52" s="1" t="s">
        <v>193</v>
      </c>
      <c r="C52" s="1" t="n">
        <v>3</v>
      </c>
      <c r="D52" s="1" t="n">
        <v>3</v>
      </c>
      <c r="E52" s="1" t="n">
        <v>1</v>
      </c>
      <c r="F52" s="1" t="n">
        <v>1</v>
      </c>
      <c r="G52" s="1" t="s">
        <v>23</v>
      </c>
      <c r="H52" s="1" t="n">
        <f aca="false">H51/E52</f>
        <v>14</v>
      </c>
      <c r="I52" s="1" t="n">
        <f aca="false">I51/F52</f>
        <v>14</v>
      </c>
      <c r="J52" s="1" t="n">
        <v>288</v>
      </c>
      <c r="K52" s="1" t="n">
        <f aca="false">H52*I52*J52</f>
        <v>56448</v>
      </c>
      <c r="L52" s="3" t="n">
        <f aca="false">C52*D52*J51*J52</f>
        <v>373248</v>
      </c>
      <c r="M52" s="10"/>
      <c r="N52" s="8" t="n">
        <f aca="false">M52/1024</f>
        <v>0</v>
      </c>
      <c r="O52" s="3" t="n">
        <f aca="false">L52*H52*I52</f>
        <v>73156608</v>
      </c>
      <c r="P52" s="8"/>
      <c r="Q52" s="8" t="n">
        <f aca="false">P52/1024/1024</f>
        <v>0</v>
      </c>
      <c r="R52" s="9" t="n">
        <f aca="false">P52/P$86</f>
        <v>0</v>
      </c>
    </row>
    <row r="53" customFormat="false" ht="12.8" hidden="false" customHeight="false" outlineLevel="0" collapsed="false">
      <c r="A53" s="1" t="n">
        <v>50</v>
      </c>
      <c r="B53" s="1" t="s">
        <v>194</v>
      </c>
      <c r="C53" s="1" t="n">
        <v>1</v>
      </c>
      <c r="D53" s="1" t="n">
        <v>1</v>
      </c>
      <c r="E53" s="1" t="n">
        <v>1</v>
      </c>
      <c r="F53" s="1" t="n">
        <v>1</v>
      </c>
      <c r="G53" s="1" t="s">
        <v>23</v>
      </c>
      <c r="H53" s="1" t="n">
        <f aca="false">H49/E53</f>
        <v>14</v>
      </c>
      <c r="I53" s="1" t="n">
        <f aca="false">I49/F53</f>
        <v>14</v>
      </c>
      <c r="J53" s="1" t="n">
        <v>32</v>
      </c>
      <c r="K53" s="1" t="n">
        <f aca="false">H53*I53*J53</f>
        <v>6272</v>
      </c>
      <c r="L53" s="3" t="n">
        <f aca="false">C53*D53*J49*J53</f>
        <v>16384</v>
      </c>
      <c r="M53" s="10"/>
      <c r="N53" s="8" t="n">
        <f aca="false">M53/1024</f>
        <v>0</v>
      </c>
      <c r="O53" s="3" t="n">
        <f aca="false">L53*H53*I53</f>
        <v>3211264</v>
      </c>
      <c r="P53" s="8"/>
      <c r="Q53" s="8" t="n">
        <f aca="false">P53/1024/1024</f>
        <v>0</v>
      </c>
      <c r="R53" s="9" t="n">
        <f aca="false">P53/P$86</f>
        <v>0</v>
      </c>
    </row>
    <row r="54" customFormat="false" ht="12.8" hidden="false" customHeight="false" outlineLevel="0" collapsed="false">
      <c r="A54" s="1" t="n">
        <v>51</v>
      </c>
      <c r="B54" s="1" t="s">
        <v>195</v>
      </c>
      <c r="C54" s="1" t="n">
        <v>5</v>
      </c>
      <c r="D54" s="1" t="n">
        <v>5</v>
      </c>
      <c r="E54" s="1" t="n">
        <v>1</v>
      </c>
      <c r="F54" s="1" t="n">
        <v>1</v>
      </c>
      <c r="G54" s="1" t="s">
        <v>23</v>
      </c>
      <c r="H54" s="1" t="n">
        <f aca="false">H53/E54</f>
        <v>14</v>
      </c>
      <c r="I54" s="1" t="n">
        <f aca="false">I53/F54</f>
        <v>14</v>
      </c>
      <c r="J54" s="1" t="n">
        <v>64</v>
      </c>
      <c r="K54" s="1" t="n">
        <f aca="false">H54*I54*J54</f>
        <v>12544</v>
      </c>
      <c r="L54" s="3" t="n">
        <f aca="false">C54*D54*J53*J54</f>
        <v>51200</v>
      </c>
      <c r="M54" s="10"/>
      <c r="N54" s="8" t="n">
        <f aca="false">M54/1024</f>
        <v>0</v>
      </c>
      <c r="O54" s="3" t="n">
        <f aca="false">L54*H54*I54</f>
        <v>10035200</v>
      </c>
      <c r="P54" s="8"/>
      <c r="Q54" s="8" t="n">
        <f aca="false">P54/1024/1024</f>
        <v>0</v>
      </c>
      <c r="R54" s="9" t="n">
        <f aca="false">P54/P$86</f>
        <v>0</v>
      </c>
    </row>
    <row r="55" customFormat="false" ht="12.8" hidden="false" customHeight="false" outlineLevel="0" collapsed="false">
      <c r="A55" s="1" t="n">
        <v>52</v>
      </c>
      <c r="B55" s="1" t="s">
        <v>196</v>
      </c>
      <c r="C55" s="1" t="n">
        <v>3</v>
      </c>
      <c r="D55" s="1" t="n">
        <v>3</v>
      </c>
      <c r="E55" s="1" t="n">
        <v>1</v>
      </c>
      <c r="F55" s="1" t="n">
        <v>1</v>
      </c>
      <c r="G55" s="1" t="s">
        <v>23</v>
      </c>
      <c r="H55" s="1" t="n">
        <f aca="false">H49/E55</f>
        <v>14</v>
      </c>
      <c r="I55" s="1" t="n">
        <f aca="false">I49/F55</f>
        <v>14</v>
      </c>
      <c r="J55" s="1" t="n">
        <f aca="false">J49</f>
        <v>512</v>
      </c>
      <c r="K55" s="1" t="n">
        <f aca="false">H55*I55*J55</f>
        <v>100352</v>
      </c>
      <c r="L55" s="3"/>
      <c r="M55" s="10"/>
      <c r="N55" s="8" t="n">
        <f aca="false">M55/1024</f>
        <v>0</v>
      </c>
      <c r="O55" s="3"/>
      <c r="P55" s="8"/>
      <c r="Q55" s="8" t="n">
        <f aca="false">P55/1024/1024</f>
        <v>0</v>
      </c>
      <c r="R55" s="9" t="n">
        <f aca="false">P55/P$86</f>
        <v>0</v>
      </c>
    </row>
    <row r="56" customFormat="false" ht="12.8" hidden="false" customHeight="false" outlineLevel="0" collapsed="false">
      <c r="A56" s="1" t="n">
        <v>53</v>
      </c>
      <c r="B56" s="1" t="s">
        <v>197</v>
      </c>
      <c r="C56" s="1" t="n">
        <v>1</v>
      </c>
      <c r="D56" s="1" t="n">
        <v>1</v>
      </c>
      <c r="E56" s="1" t="n">
        <v>1</v>
      </c>
      <c r="F56" s="1" t="n">
        <v>1</v>
      </c>
      <c r="G56" s="1" t="s">
        <v>23</v>
      </c>
      <c r="H56" s="1" t="n">
        <f aca="false">H55/E56</f>
        <v>14</v>
      </c>
      <c r="I56" s="1" t="n">
        <f aca="false">I55/F56</f>
        <v>14</v>
      </c>
      <c r="J56" s="1" t="n">
        <v>64</v>
      </c>
      <c r="K56" s="1" t="n">
        <f aca="false">H56*I56*J56</f>
        <v>12544</v>
      </c>
      <c r="L56" s="3" t="n">
        <f aca="false">C56*D56*J55*J56</f>
        <v>32768</v>
      </c>
      <c r="M56" s="10"/>
      <c r="N56" s="8" t="n">
        <f aca="false">M56/1024</f>
        <v>0</v>
      </c>
      <c r="O56" s="3" t="n">
        <f aca="false">L56*H56*I56</f>
        <v>6422528</v>
      </c>
      <c r="P56" s="8"/>
      <c r="Q56" s="8" t="n">
        <f aca="false">P56/1024/1024</f>
        <v>0</v>
      </c>
      <c r="R56" s="9" t="n">
        <f aca="false">P56/P$86</f>
        <v>0</v>
      </c>
    </row>
    <row r="57" customFormat="false" ht="12.8" hidden="false" customHeight="false" outlineLevel="0" collapsed="false">
      <c r="A57" s="1" t="n">
        <v>54</v>
      </c>
      <c r="B57" s="1" t="s">
        <v>198</v>
      </c>
      <c r="H57" s="1" t="n">
        <f aca="false">H56</f>
        <v>14</v>
      </c>
      <c r="I57" s="1" t="n">
        <f aca="false">I56</f>
        <v>14</v>
      </c>
      <c r="J57" s="1" t="n">
        <f aca="false">J50+J52+J54+J56</f>
        <v>528</v>
      </c>
      <c r="K57" s="1" t="n">
        <f aca="false">H57*I57*J57</f>
        <v>103488</v>
      </c>
      <c r="L57" s="3"/>
      <c r="M57" s="10"/>
      <c r="N57" s="8" t="n">
        <f aca="false">M57/1024</f>
        <v>0</v>
      </c>
      <c r="O57" s="3"/>
      <c r="P57" s="8"/>
      <c r="Q57" s="8" t="n">
        <f aca="false">P57/1024/1024</f>
        <v>0</v>
      </c>
      <c r="R57" s="9" t="n">
        <f aca="false">P57/P$86</f>
        <v>0</v>
      </c>
    </row>
    <row r="58" customFormat="false" ht="12.8" hidden="false" customHeight="false" outlineLevel="0" collapsed="false">
      <c r="A58" s="1" t="n">
        <v>55</v>
      </c>
      <c r="B58" s="1" t="s">
        <v>199</v>
      </c>
      <c r="C58" s="1" t="n">
        <v>1</v>
      </c>
      <c r="D58" s="1" t="n">
        <v>1</v>
      </c>
      <c r="E58" s="1" t="n">
        <v>1</v>
      </c>
      <c r="F58" s="1" t="n">
        <v>1</v>
      </c>
      <c r="G58" s="1" t="s">
        <v>23</v>
      </c>
      <c r="H58" s="1" t="n">
        <f aca="false">H57/E58</f>
        <v>14</v>
      </c>
      <c r="I58" s="1" t="n">
        <f aca="false">I57/F58</f>
        <v>14</v>
      </c>
      <c r="J58" s="1" t="n">
        <v>256</v>
      </c>
      <c r="K58" s="1" t="n">
        <f aca="false">H58*I58*J58</f>
        <v>50176</v>
      </c>
      <c r="L58" s="3" t="n">
        <f aca="false">C58*D58*J57*J58</f>
        <v>135168</v>
      </c>
      <c r="M58" s="10" t="n">
        <f aca="false">SUM(L58:L65)</f>
        <v>867328</v>
      </c>
      <c r="N58" s="8" t="n">
        <f aca="false">M58/1024</f>
        <v>847</v>
      </c>
      <c r="O58" s="3" t="n">
        <f aca="false">L58*H58*I58</f>
        <v>26492928</v>
      </c>
      <c r="P58" s="8" t="n">
        <f aca="false">SUM(O58:O65)</f>
        <v>169996288</v>
      </c>
      <c r="Q58" s="8" t="n">
        <f aca="false">P58/1024/1024</f>
        <v>162.12109375</v>
      </c>
      <c r="R58" s="9" t="n">
        <f aca="false">P58/P$86</f>
        <v>0.107410949172413</v>
      </c>
    </row>
    <row r="59" customFormat="false" ht="12.8" hidden="false" customHeight="false" outlineLevel="0" collapsed="false">
      <c r="A59" s="1" t="n">
        <v>56</v>
      </c>
      <c r="B59" s="1" t="s">
        <v>200</v>
      </c>
      <c r="C59" s="1" t="n">
        <v>1</v>
      </c>
      <c r="D59" s="1" t="n">
        <v>1</v>
      </c>
      <c r="E59" s="1" t="n">
        <v>1</v>
      </c>
      <c r="F59" s="1" t="n">
        <v>1</v>
      </c>
      <c r="G59" s="1" t="s">
        <v>23</v>
      </c>
      <c r="H59" s="1" t="n">
        <f aca="false">H57/E59</f>
        <v>14</v>
      </c>
      <c r="I59" s="1" t="n">
        <f aca="false">I57/F59</f>
        <v>14</v>
      </c>
      <c r="J59" s="1" t="n">
        <v>160</v>
      </c>
      <c r="K59" s="1" t="n">
        <f aca="false">H59*I59*J59</f>
        <v>31360</v>
      </c>
      <c r="L59" s="3" t="n">
        <f aca="false">C59*D59*J57*J59</f>
        <v>84480</v>
      </c>
      <c r="M59" s="10"/>
      <c r="N59" s="8" t="n">
        <f aca="false">M59/1024</f>
        <v>0</v>
      </c>
      <c r="O59" s="3" t="n">
        <f aca="false">L59*H59*I59</f>
        <v>16558080</v>
      </c>
      <c r="P59" s="8"/>
      <c r="Q59" s="8" t="n">
        <f aca="false">P59/1024/1024</f>
        <v>0</v>
      </c>
      <c r="R59" s="9" t="n">
        <f aca="false">P59/P$86</f>
        <v>0</v>
      </c>
    </row>
    <row r="60" customFormat="false" ht="12.8" hidden="false" customHeight="false" outlineLevel="0" collapsed="false">
      <c r="A60" s="1" t="n">
        <v>57</v>
      </c>
      <c r="B60" s="1" t="s">
        <v>201</v>
      </c>
      <c r="C60" s="1" t="n">
        <v>3</v>
      </c>
      <c r="D60" s="1" t="n">
        <v>3</v>
      </c>
      <c r="E60" s="1" t="n">
        <v>1</v>
      </c>
      <c r="F60" s="1" t="n">
        <v>1</v>
      </c>
      <c r="G60" s="1" t="s">
        <v>23</v>
      </c>
      <c r="H60" s="1" t="n">
        <f aca="false">H59/E60</f>
        <v>14</v>
      </c>
      <c r="I60" s="1" t="n">
        <f aca="false">I59/F60</f>
        <v>14</v>
      </c>
      <c r="J60" s="1" t="n">
        <v>320</v>
      </c>
      <c r="K60" s="1" t="n">
        <f aca="false">H60*I60*J60</f>
        <v>62720</v>
      </c>
      <c r="L60" s="3" t="n">
        <f aca="false">C60*D60*J59*J60</f>
        <v>460800</v>
      </c>
      <c r="M60" s="10"/>
      <c r="N60" s="8" t="n">
        <f aca="false">M60/1024</f>
        <v>0</v>
      </c>
      <c r="O60" s="3" t="n">
        <f aca="false">L60*H60*I60</f>
        <v>90316800</v>
      </c>
      <c r="P60" s="8"/>
      <c r="Q60" s="8" t="n">
        <f aca="false">P60/1024/1024</f>
        <v>0</v>
      </c>
      <c r="R60" s="9" t="n">
        <f aca="false">P60/P$86</f>
        <v>0</v>
      </c>
    </row>
    <row r="61" customFormat="false" ht="12.8" hidden="false" customHeight="false" outlineLevel="0" collapsed="false">
      <c r="A61" s="1" t="n">
        <v>58</v>
      </c>
      <c r="B61" s="1" t="s">
        <v>202</v>
      </c>
      <c r="C61" s="1" t="n">
        <v>1</v>
      </c>
      <c r="D61" s="1" t="n">
        <v>1</v>
      </c>
      <c r="E61" s="1" t="n">
        <v>1</v>
      </c>
      <c r="F61" s="1" t="n">
        <v>1</v>
      </c>
      <c r="G61" s="1" t="s">
        <v>23</v>
      </c>
      <c r="H61" s="1" t="n">
        <f aca="false">H57/E61</f>
        <v>14</v>
      </c>
      <c r="I61" s="1" t="n">
        <f aca="false">I57/F61</f>
        <v>14</v>
      </c>
      <c r="J61" s="1" t="n">
        <v>32</v>
      </c>
      <c r="K61" s="1" t="n">
        <f aca="false">H61*I61*J61</f>
        <v>6272</v>
      </c>
      <c r="L61" s="3" t="n">
        <f aca="false">C61*D61*J57*J61</f>
        <v>16896</v>
      </c>
      <c r="M61" s="10"/>
      <c r="N61" s="8" t="n">
        <f aca="false">M61/1024</f>
        <v>0</v>
      </c>
      <c r="O61" s="3" t="n">
        <f aca="false">L61*H61*I61</f>
        <v>3311616</v>
      </c>
      <c r="P61" s="8"/>
      <c r="Q61" s="8" t="n">
        <f aca="false">P61/1024/1024</f>
        <v>0</v>
      </c>
      <c r="R61" s="9" t="n">
        <f aca="false">P61/P$86</f>
        <v>0</v>
      </c>
    </row>
    <row r="62" customFormat="false" ht="12.8" hidden="false" customHeight="false" outlineLevel="0" collapsed="false">
      <c r="A62" s="1" t="n">
        <v>59</v>
      </c>
      <c r="B62" s="1" t="s">
        <v>203</v>
      </c>
      <c r="C62" s="1" t="n">
        <v>5</v>
      </c>
      <c r="D62" s="1" t="n">
        <v>5</v>
      </c>
      <c r="E62" s="1" t="n">
        <v>1</v>
      </c>
      <c r="F62" s="1" t="n">
        <v>1</v>
      </c>
      <c r="G62" s="1" t="s">
        <v>23</v>
      </c>
      <c r="H62" s="1" t="n">
        <f aca="false">H61/E62</f>
        <v>14</v>
      </c>
      <c r="I62" s="1" t="n">
        <f aca="false">I61/F62</f>
        <v>14</v>
      </c>
      <c r="J62" s="1" t="n">
        <v>128</v>
      </c>
      <c r="K62" s="1" t="n">
        <f aca="false">H62*I62*J62</f>
        <v>25088</v>
      </c>
      <c r="L62" s="3" t="n">
        <f aca="false">C62*D62*J61*J62</f>
        <v>102400</v>
      </c>
      <c r="M62" s="10"/>
      <c r="N62" s="8" t="n">
        <f aca="false">M62/1024</f>
        <v>0</v>
      </c>
      <c r="O62" s="3" t="n">
        <f aca="false">L62*H62*I62</f>
        <v>20070400</v>
      </c>
      <c r="P62" s="8"/>
      <c r="Q62" s="8" t="n">
        <f aca="false">P62/1024/1024</f>
        <v>0</v>
      </c>
      <c r="R62" s="9" t="n">
        <f aca="false">P62/P$86</f>
        <v>0</v>
      </c>
    </row>
    <row r="63" customFormat="false" ht="12.8" hidden="false" customHeight="false" outlineLevel="0" collapsed="false">
      <c r="A63" s="1" t="n">
        <v>60</v>
      </c>
      <c r="B63" s="1" t="s">
        <v>204</v>
      </c>
      <c r="C63" s="1" t="n">
        <v>3</v>
      </c>
      <c r="D63" s="1" t="n">
        <v>3</v>
      </c>
      <c r="E63" s="1" t="n">
        <v>1</v>
      </c>
      <c r="F63" s="1" t="n">
        <v>1</v>
      </c>
      <c r="G63" s="1" t="s">
        <v>23</v>
      </c>
      <c r="H63" s="1" t="n">
        <f aca="false">H57/E63</f>
        <v>14</v>
      </c>
      <c r="I63" s="1" t="n">
        <f aca="false">I57/F63</f>
        <v>14</v>
      </c>
      <c r="J63" s="1" t="n">
        <f aca="false">J57</f>
        <v>528</v>
      </c>
      <c r="K63" s="1" t="n">
        <f aca="false">H63*I63*J63</f>
        <v>103488</v>
      </c>
      <c r="L63" s="3"/>
      <c r="M63" s="10"/>
      <c r="N63" s="8" t="n">
        <f aca="false">M63/1024</f>
        <v>0</v>
      </c>
      <c r="O63" s="3"/>
      <c r="P63" s="8"/>
      <c r="Q63" s="8" t="n">
        <f aca="false">P63/1024/1024</f>
        <v>0</v>
      </c>
      <c r="R63" s="9" t="n">
        <f aca="false">P63/P$86</f>
        <v>0</v>
      </c>
    </row>
    <row r="64" customFormat="false" ht="12.8" hidden="false" customHeight="false" outlineLevel="0" collapsed="false">
      <c r="A64" s="1" t="n">
        <v>61</v>
      </c>
      <c r="B64" s="1" t="s">
        <v>205</v>
      </c>
      <c r="C64" s="1" t="n">
        <v>1</v>
      </c>
      <c r="D64" s="1" t="n">
        <v>1</v>
      </c>
      <c r="E64" s="1" t="n">
        <v>1</v>
      </c>
      <c r="F64" s="1" t="n">
        <v>1</v>
      </c>
      <c r="G64" s="1" t="s">
        <v>23</v>
      </c>
      <c r="H64" s="1" t="n">
        <f aca="false">H63/E64</f>
        <v>14</v>
      </c>
      <c r="I64" s="1" t="n">
        <f aca="false">I63/F64</f>
        <v>14</v>
      </c>
      <c r="J64" s="1" t="n">
        <v>128</v>
      </c>
      <c r="K64" s="1" t="n">
        <f aca="false">H64*I64*J64</f>
        <v>25088</v>
      </c>
      <c r="L64" s="3" t="n">
        <f aca="false">C64*D64*J63*J64</f>
        <v>67584</v>
      </c>
      <c r="M64" s="10"/>
      <c r="N64" s="8" t="n">
        <f aca="false">M64/1024</f>
        <v>0</v>
      </c>
      <c r="O64" s="3" t="n">
        <f aca="false">L64*H64*I64</f>
        <v>13246464</v>
      </c>
      <c r="P64" s="8"/>
      <c r="Q64" s="8" t="n">
        <f aca="false">P64/1024/1024</f>
        <v>0</v>
      </c>
      <c r="R64" s="9" t="n">
        <f aca="false">P64/P$86</f>
        <v>0</v>
      </c>
    </row>
    <row r="65" customFormat="false" ht="12.8" hidden="false" customHeight="false" outlineLevel="0" collapsed="false">
      <c r="A65" s="1" t="n">
        <v>62</v>
      </c>
      <c r="B65" s="1" t="s">
        <v>206</v>
      </c>
      <c r="H65" s="1" t="n">
        <f aca="false">H64</f>
        <v>14</v>
      </c>
      <c r="I65" s="1" t="n">
        <f aca="false">I64</f>
        <v>14</v>
      </c>
      <c r="J65" s="1" t="n">
        <f aca="false">J58+J60+J62+J64</f>
        <v>832</v>
      </c>
      <c r="K65" s="1" t="n">
        <f aca="false">H65*I65*J65</f>
        <v>163072</v>
      </c>
      <c r="L65" s="3"/>
      <c r="M65" s="10"/>
      <c r="N65" s="8" t="n">
        <f aca="false">M65/1024</f>
        <v>0</v>
      </c>
      <c r="O65" s="3"/>
      <c r="P65" s="8"/>
      <c r="Q65" s="8" t="n">
        <f aca="false">P65/1024/1024</f>
        <v>0</v>
      </c>
      <c r="R65" s="9" t="n">
        <f aca="false">P65/P$86</f>
        <v>0</v>
      </c>
    </row>
    <row r="66" customFormat="false" ht="12.8" hidden="false" customHeight="false" outlineLevel="0" collapsed="false">
      <c r="A66" s="1" t="n">
        <v>63</v>
      </c>
      <c r="B66" s="1" t="s">
        <v>207</v>
      </c>
      <c r="C66" s="1" t="n">
        <v>3</v>
      </c>
      <c r="D66" s="1" t="n">
        <v>3</v>
      </c>
      <c r="E66" s="1" t="n">
        <v>2</v>
      </c>
      <c r="F66" s="1" t="n">
        <v>2</v>
      </c>
      <c r="G66" s="1" t="s">
        <v>23</v>
      </c>
      <c r="H66" s="1" t="n">
        <f aca="false">H65/E66</f>
        <v>7</v>
      </c>
      <c r="I66" s="1" t="n">
        <f aca="false">I65/F66</f>
        <v>7</v>
      </c>
      <c r="J66" s="1" t="n">
        <f aca="false">J65</f>
        <v>832</v>
      </c>
      <c r="K66" s="1" t="n">
        <f aca="false">H66*I66*J66</f>
        <v>40768</v>
      </c>
      <c r="L66" s="0"/>
      <c r="N66" s="3"/>
      <c r="O66" s="3"/>
      <c r="P66" s="8"/>
      <c r="Q66" s="3"/>
      <c r="R66" s="4"/>
    </row>
    <row r="67" customFormat="false" ht="12.8" hidden="false" customHeight="false" outlineLevel="0" collapsed="false">
      <c r="A67" s="1" t="n">
        <v>64</v>
      </c>
      <c r="B67" s="1" t="s">
        <v>208</v>
      </c>
      <c r="C67" s="1" t="n">
        <v>1</v>
      </c>
      <c r="D67" s="1" t="n">
        <v>1</v>
      </c>
      <c r="E67" s="1" t="n">
        <v>1</v>
      </c>
      <c r="F67" s="1" t="n">
        <v>1</v>
      </c>
      <c r="G67" s="1" t="s">
        <v>23</v>
      </c>
      <c r="H67" s="1" t="n">
        <f aca="false">H66/E67</f>
        <v>7</v>
      </c>
      <c r="I67" s="1" t="n">
        <f aca="false">I66/F67</f>
        <v>7</v>
      </c>
      <c r="J67" s="1" t="n">
        <v>256</v>
      </c>
      <c r="K67" s="1" t="n">
        <f aca="false">H67*I67*J67</f>
        <v>12544</v>
      </c>
      <c r="L67" s="3" t="n">
        <f aca="false">C67*D67*J66*J67</f>
        <v>212992</v>
      </c>
      <c r="M67" s="10" t="n">
        <f aca="false">SUM(L67:L74)</f>
        <v>1042432</v>
      </c>
      <c r="N67" s="8" t="n">
        <f aca="false">M67/1024</f>
        <v>1018</v>
      </c>
      <c r="O67" s="3" t="n">
        <f aca="false">L67*H67*I67</f>
        <v>10436608</v>
      </c>
      <c r="P67" s="8" t="n">
        <f aca="false">SUM(O67:O74)</f>
        <v>51079168</v>
      </c>
      <c r="Q67" s="8" t="n">
        <f aca="false">P67/1024/1024</f>
        <v>48.712890625</v>
      </c>
      <c r="R67" s="9" t="n">
        <f aca="false">P67/P$86</f>
        <v>0.0322740101114276</v>
      </c>
    </row>
    <row r="68" customFormat="false" ht="12.8" hidden="false" customHeight="false" outlineLevel="0" collapsed="false">
      <c r="A68" s="1" t="n">
        <v>65</v>
      </c>
      <c r="B68" s="1" t="s">
        <v>209</v>
      </c>
      <c r="C68" s="1" t="n">
        <v>1</v>
      </c>
      <c r="D68" s="1" t="n">
        <v>1</v>
      </c>
      <c r="E68" s="1" t="n">
        <v>1</v>
      </c>
      <c r="F68" s="1" t="n">
        <v>1</v>
      </c>
      <c r="G68" s="1" t="s">
        <v>23</v>
      </c>
      <c r="H68" s="1" t="n">
        <f aca="false">H66/E68</f>
        <v>7</v>
      </c>
      <c r="I68" s="1" t="n">
        <f aca="false">I66/F68</f>
        <v>7</v>
      </c>
      <c r="J68" s="1" t="n">
        <v>160</v>
      </c>
      <c r="K68" s="1" t="n">
        <f aca="false">H68*I68*J68</f>
        <v>7840</v>
      </c>
      <c r="L68" s="3" t="n">
        <f aca="false">C68*D68*J66*J68</f>
        <v>133120</v>
      </c>
      <c r="M68" s="10"/>
      <c r="N68" s="8" t="n">
        <f aca="false">M68/1024</f>
        <v>0</v>
      </c>
      <c r="O68" s="3" t="n">
        <f aca="false">L68*H68*I68</f>
        <v>6522880</v>
      </c>
      <c r="P68" s="8"/>
      <c r="Q68" s="8" t="n">
        <f aca="false">P68/1024/1024</f>
        <v>0</v>
      </c>
      <c r="R68" s="9" t="n">
        <f aca="false">P68/P$86</f>
        <v>0</v>
      </c>
    </row>
    <row r="69" customFormat="false" ht="12.8" hidden="false" customHeight="false" outlineLevel="0" collapsed="false">
      <c r="A69" s="1" t="n">
        <v>66</v>
      </c>
      <c r="B69" s="1" t="s">
        <v>210</v>
      </c>
      <c r="C69" s="1" t="n">
        <v>3</v>
      </c>
      <c r="D69" s="1" t="n">
        <v>3</v>
      </c>
      <c r="E69" s="1" t="n">
        <v>1</v>
      </c>
      <c r="F69" s="1" t="n">
        <v>1</v>
      </c>
      <c r="G69" s="1" t="s">
        <v>23</v>
      </c>
      <c r="H69" s="1" t="n">
        <f aca="false">H68/E69</f>
        <v>7</v>
      </c>
      <c r="I69" s="1" t="n">
        <f aca="false">I68/F69</f>
        <v>7</v>
      </c>
      <c r="J69" s="1" t="n">
        <v>320</v>
      </c>
      <c r="K69" s="1" t="n">
        <f aca="false">H69*I69*J69</f>
        <v>15680</v>
      </c>
      <c r="L69" s="3" t="n">
        <f aca="false">C69*D69*J68*J69</f>
        <v>460800</v>
      </c>
      <c r="M69" s="10"/>
      <c r="N69" s="8" t="n">
        <f aca="false">M69/1024</f>
        <v>0</v>
      </c>
      <c r="O69" s="3" t="n">
        <f aca="false">L69*H69*I69</f>
        <v>22579200</v>
      </c>
      <c r="P69" s="8"/>
      <c r="Q69" s="8" t="n">
        <f aca="false">P69/1024/1024</f>
        <v>0</v>
      </c>
      <c r="R69" s="9" t="n">
        <f aca="false">P69/P$86</f>
        <v>0</v>
      </c>
    </row>
    <row r="70" customFormat="false" ht="12.8" hidden="false" customHeight="false" outlineLevel="0" collapsed="false">
      <c r="A70" s="1" t="n">
        <v>67</v>
      </c>
      <c r="B70" s="1" t="s">
        <v>211</v>
      </c>
      <c r="C70" s="1" t="n">
        <v>1</v>
      </c>
      <c r="D70" s="1" t="n">
        <v>1</v>
      </c>
      <c r="E70" s="1" t="n">
        <v>1</v>
      </c>
      <c r="F70" s="1" t="n">
        <v>1</v>
      </c>
      <c r="G70" s="1" t="s">
        <v>23</v>
      </c>
      <c r="H70" s="1" t="n">
        <f aca="false">H66/E70</f>
        <v>7</v>
      </c>
      <c r="I70" s="1" t="n">
        <f aca="false">I66/F70</f>
        <v>7</v>
      </c>
      <c r="J70" s="1" t="n">
        <v>32</v>
      </c>
      <c r="K70" s="1" t="n">
        <f aca="false">H70*I70*J70</f>
        <v>1568</v>
      </c>
      <c r="L70" s="3" t="n">
        <f aca="false">C70*D70*J66*J70</f>
        <v>26624</v>
      </c>
      <c r="M70" s="10"/>
      <c r="N70" s="8" t="n">
        <f aca="false">M70/1024</f>
        <v>0</v>
      </c>
      <c r="O70" s="3" t="n">
        <f aca="false">L70*H70*I70</f>
        <v>1304576</v>
      </c>
      <c r="P70" s="8"/>
      <c r="Q70" s="8" t="n">
        <f aca="false">P70/1024/1024</f>
        <v>0</v>
      </c>
      <c r="R70" s="9" t="n">
        <f aca="false">P70/P$86</f>
        <v>0</v>
      </c>
    </row>
    <row r="71" customFormat="false" ht="12.8" hidden="false" customHeight="false" outlineLevel="0" collapsed="false">
      <c r="A71" s="1" t="n">
        <v>68</v>
      </c>
      <c r="B71" s="1" t="s">
        <v>212</v>
      </c>
      <c r="C71" s="1" t="n">
        <v>5</v>
      </c>
      <c r="D71" s="1" t="n">
        <v>5</v>
      </c>
      <c r="E71" s="1" t="n">
        <v>1</v>
      </c>
      <c r="F71" s="1" t="n">
        <v>1</v>
      </c>
      <c r="G71" s="1" t="s">
        <v>23</v>
      </c>
      <c r="H71" s="1" t="n">
        <f aca="false">H70/E71</f>
        <v>7</v>
      </c>
      <c r="I71" s="1" t="n">
        <f aca="false">I70/F71</f>
        <v>7</v>
      </c>
      <c r="J71" s="1" t="n">
        <v>128</v>
      </c>
      <c r="K71" s="1" t="n">
        <f aca="false">H71*I71*J71</f>
        <v>6272</v>
      </c>
      <c r="L71" s="3" t="n">
        <f aca="false">C71*D71*J70*J71</f>
        <v>102400</v>
      </c>
      <c r="M71" s="10"/>
      <c r="N71" s="8" t="n">
        <f aca="false">M71/1024</f>
        <v>0</v>
      </c>
      <c r="O71" s="3" t="n">
        <f aca="false">L71*H71*I71</f>
        <v>5017600</v>
      </c>
      <c r="P71" s="8"/>
      <c r="Q71" s="8" t="n">
        <f aca="false">P71/1024/1024</f>
        <v>0</v>
      </c>
      <c r="R71" s="9" t="n">
        <f aca="false">P71/P$86</f>
        <v>0</v>
      </c>
    </row>
    <row r="72" customFormat="false" ht="12.8" hidden="false" customHeight="false" outlineLevel="0" collapsed="false">
      <c r="A72" s="1" t="n">
        <v>69</v>
      </c>
      <c r="B72" s="1" t="s">
        <v>213</v>
      </c>
      <c r="C72" s="1" t="n">
        <v>3</v>
      </c>
      <c r="D72" s="1" t="n">
        <v>3</v>
      </c>
      <c r="E72" s="1" t="n">
        <v>1</v>
      </c>
      <c r="F72" s="1" t="n">
        <v>1</v>
      </c>
      <c r="G72" s="1" t="s">
        <v>23</v>
      </c>
      <c r="H72" s="1" t="n">
        <f aca="false">H66/E72</f>
        <v>7</v>
      </c>
      <c r="I72" s="1" t="n">
        <f aca="false">I66/F72</f>
        <v>7</v>
      </c>
      <c r="J72" s="1" t="n">
        <f aca="false">J66</f>
        <v>832</v>
      </c>
      <c r="K72" s="1" t="n">
        <f aca="false">H72*I72*J72</f>
        <v>40768</v>
      </c>
      <c r="L72" s="3"/>
      <c r="M72" s="10"/>
      <c r="N72" s="8" t="n">
        <f aca="false">M72/1024</f>
        <v>0</v>
      </c>
      <c r="O72" s="3"/>
      <c r="P72" s="8"/>
      <c r="Q72" s="8" t="n">
        <f aca="false">P72/1024/1024</f>
        <v>0</v>
      </c>
      <c r="R72" s="9" t="n">
        <f aca="false">P72/P$86</f>
        <v>0</v>
      </c>
    </row>
    <row r="73" customFormat="false" ht="12.8" hidden="false" customHeight="false" outlineLevel="0" collapsed="false">
      <c r="A73" s="1" t="n">
        <v>70</v>
      </c>
      <c r="B73" s="1" t="s">
        <v>214</v>
      </c>
      <c r="C73" s="1" t="n">
        <v>1</v>
      </c>
      <c r="D73" s="1" t="n">
        <v>1</v>
      </c>
      <c r="E73" s="1" t="n">
        <v>1</v>
      </c>
      <c r="F73" s="1" t="n">
        <v>1</v>
      </c>
      <c r="G73" s="1" t="s">
        <v>23</v>
      </c>
      <c r="H73" s="1" t="n">
        <f aca="false">H72/E73</f>
        <v>7</v>
      </c>
      <c r="I73" s="1" t="n">
        <f aca="false">I72/F73</f>
        <v>7</v>
      </c>
      <c r="J73" s="1" t="n">
        <v>128</v>
      </c>
      <c r="K73" s="1" t="n">
        <f aca="false">H73*I73*J73</f>
        <v>6272</v>
      </c>
      <c r="L73" s="3" t="n">
        <f aca="false">C73*D73*J72*J73</f>
        <v>106496</v>
      </c>
      <c r="M73" s="10"/>
      <c r="N73" s="8" t="n">
        <f aca="false">M73/1024</f>
        <v>0</v>
      </c>
      <c r="O73" s="3" t="n">
        <f aca="false">L73*H73*I73</f>
        <v>5218304</v>
      </c>
      <c r="P73" s="8"/>
      <c r="Q73" s="8" t="n">
        <f aca="false">P73/1024/1024</f>
        <v>0</v>
      </c>
      <c r="R73" s="9" t="n">
        <f aca="false">P73/P$86</f>
        <v>0</v>
      </c>
    </row>
    <row r="74" customFormat="false" ht="12.8" hidden="false" customHeight="false" outlineLevel="0" collapsed="false">
      <c r="A74" s="1" t="n">
        <v>71</v>
      </c>
      <c r="B74" s="1" t="s">
        <v>215</v>
      </c>
      <c r="H74" s="1" t="n">
        <f aca="false">H73</f>
        <v>7</v>
      </c>
      <c r="I74" s="1" t="n">
        <f aca="false">I73</f>
        <v>7</v>
      </c>
      <c r="J74" s="1" t="n">
        <f aca="false">J67+J69+J71+J73</f>
        <v>832</v>
      </c>
      <c r="K74" s="1" t="n">
        <f aca="false">H74*I74*J74</f>
        <v>40768</v>
      </c>
      <c r="M74" s="10"/>
      <c r="N74" s="8" t="n">
        <f aca="false">M74/1024</f>
        <v>0</v>
      </c>
      <c r="O74" s="3"/>
      <c r="P74" s="8"/>
      <c r="Q74" s="8" t="n">
        <f aca="false">P74/1024/1024</f>
        <v>0</v>
      </c>
      <c r="R74" s="9" t="n">
        <f aca="false">P74/P$86</f>
        <v>0</v>
      </c>
    </row>
    <row r="75" customFormat="false" ht="12.8" hidden="false" customHeight="false" outlineLevel="0" collapsed="false">
      <c r="A75" s="1" t="n">
        <v>72</v>
      </c>
      <c r="B75" s="1" t="s">
        <v>216</v>
      </c>
      <c r="C75" s="1" t="n">
        <v>1</v>
      </c>
      <c r="D75" s="1" t="n">
        <v>1</v>
      </c>
      <c r="E75" s="1" t="n">
        <v>1</v>
      </c>
      <c r="F75" s="1" t="n">
        <v>1</v>
      </c>
      <c r="G75" s="1" t="s">
        <v>23</v>
      </c>
      <c r="H75" s="1" t="n">
        <f aca="false">H74/E75</f>
        <v>7</v>
      </c>
      <c r="I75" s="1" t="n">
        <f aca="false">I74/F75</f>
        <v>7</v>
      </c>
      <c r="J75" s="1" t="n">
        <v>384</v>
      </c>
      <c r="K75" s="1" t="n">
        <f aca="false">H75*I75*J75</f>
        <v>18816</v>
      </c>
      <c r="L75" s="3" t="n">
        <f aca="false">C75*D75*J74*J75</f>
        <v>319488</v>
      </c>
      <c r="M75" s="10" t="n">
        <f aca="false">SUM(L75:L82)</f>
        <v>1442816</v>
      </c>
      <c r="N75" s="8" t="n">
        <f aca="false">M75/1024</f>
        <v>1409</v>
      </c>
      <c r="O75" s="3" t="n">
        <f aca="false">L75*H75*I75</f>
        <v>15654912</v>
      </c>
      <c r="P75" s="8" t="n">
        <f aca="false">SUM(O75:O82)</f>
        <v>70697984</v>
      </c>
      <c r="Q75" s="8" t="n">
        <f aca="false">P75/1024/1024</f>
        <v>67.4228515625</v>
      </c>
      <c r="R75" s="9" t="n">
        <f aca="false">P75/P$86</f>
        <v>0.0446700198889995</v>
      </c>
    </row>
    <row r="76" customFormat="false" ht="12.8" hidden="false" customHeight="false" outlineLevel="0" collapsed="false">
      <c r="A76" s="1" t="n">
        <v>73</v>
      </c>
      <c r="B76" s="1" t="s">
        <v>217</v>
      </c>
      <c r="C76" s="1" t="n">
        <v>1</v>
      </c>
      <c r="D76" s="1" t="n">
        <v>1</v>
      </c>
      <c r="E76" s="1" t="n">
        <v>1</v>
      </c>
      <c r="F76" s="1" t="n">
        <v>1</v>
      </c>
      <c r="G76" s="1" t="s">
        <v>23</v>
      </c>
      <c r="H76" s="1" t="n">
        <f aca="false">H74/E76</f>
        <v>7</v>
      </c>
      <c r="I76" s="1" t="n">
        <f aca="false">I74/F76</f>
        <v>7</v>
      </c>
      <c r="J76" s="1" t="n">
        <v>192</v>
      </c>
      <c r="K76" s="1" t="n">
        <f aca="false">H76*I76*J76</f>
        <v>9408</v>
      </c>
      <c r="L76" s="3" t="n">
        <f aca="false">C76*D76*J74*J76</f>
        <v>159744</v>
      </c>
      <c r="M76" s="10"/>
      <c r="N76" s="8" t="n">
        <f aca="false">M76/1024</f>
        <v>0</v>
      </c>
      <c r="O76" s="3" t="n">
        <f aca="false">L76*H76*I76</f>
        <v>7827456</v>
      </c>
      <c r="P76" s="8"/>
      <c r="Q76" s="8" t="n">
        <f aca="false">P76/1024/1024</f>
        <v>0</v>
      </c>
      <c r="R76" s="9" t="n">
        <f aca="false">P76/P$86</f>
        <v>0</v>
      </c>
    </row>
    <row r="77" customFormat="false" ht="12.8" hidden="false" customHeight="false" outlineLevel="0" collapsed="false">
      <c r="A77" s="1" t="n">
        <v>74</v>
      </c>
      <c r="B77" s="1" t="s">
        <v>218</v>
      </c>
      <c r="C77" s="1" t="n">
        <v>3</v>
      </c>
      <c r="D77" s="1" t="n">
        <v>3</v>
      </c>
      <c r="E77" s="1" t="n">
        <v>1</v>
      </c>
      <c r="F77" s="1" t="n">
        <v>1</v>
      </c>
      <c r="G77" s="1" t="s">
        <v>23</v>
      </c>
      <c r="H77" s="1" t="n">
        <f aca="false">H76/E77</f>
        <v>7</v>
      </c>
      <c r="I77" s="1" t="n">
        <f aca="false">I76/F77</f>
        <v>7</v>
      </c>
      <c r="J77" s="1" t="n">
        <v>384</v>
      </c>
      <c r="K77" s="1" t="n">
        <f aca="false">H77*I77*J77</f>
        <v>18816</v>
      </c>
      <c r="L77" s="3" t="n">
        <f aca="false">C77*D77*J76*J77</f>
        <v>663552</v>
      </c>
      <c r="M77" s="10"/>
      <c r="N77" s="8" t="n">
        <f aca="false">M77/1024</f>
        <v>0</v>
      </c>
      <c r="O77" s="3" t="n">
        <f aca="false">L77*H77*I77</f>
        <v>32514048</v>
      </c>
      <c r="P77" s="8"/>
      <c r="Q77" s="8" t="n">
        <f aca="false">P77/1024/1024</f>
        <v>0</v>
      </c>
      <c r="R77" s="9" t="n">
        <f aca="false">P77/P$86</f>
        <v>0</v>
      </c>
    </row>
    <row r="78" customFormat="false" ht="12.8" hidden="false" customHeight="false" outlineLevel="0" collapsed="false">
      <c r="A78" s="1" t="n">
        <v>75</v>
      </c>
      <c r="B78" s="1" t="s">
        <v>219</v>
      </c>
      <c r="C78" s="1" t="n">
        <v>1</v>
      </c>
      <c r="D78" s="1" t="n">
        <v>1</v>
      </c>
      <c r="E78" s="1" t="n">
        <v>1</v>
      </c>
      <c r="F78" s="1" t="n">
        <v>1</v>
      </c>
      <c r="G78" s="1" t="s">
        <v>23</v>
      </c>
      <c r="H78" s="1" t="n">
        <f aca="false">H74/E78</f>
        <v>7</v>
      </c>
      <c r="I78" s="1" t="n">
        <f aca="false">I74/F78</f>
        <v>7</v>
      </c>
      <c r="J78" s="1" t="n">
        <v>48</v>
      </c>
      <c r="K78" s="1" t="n">
        <f aca="false">H78*I78*J78</f>
        <v>2352</v>
      </c>
      <c r="L78" s="3" t="n">
        <f aca="false">C78*D78*J74*J78</f>
        <v>39936</v>
      </c>
      <c r="M78" s="10"/>
      <c r="N78" s="8" t="n">
        <f aca="false">M78/1024</f>
        <v>0</v>
      </c>
      <c r="O78" s="3" t="n">
        <f aca="false">L78*H78*I78</f>
        <v>1956864</v>
      </c>
      <c r="P78" s="8"/>
      <c r="Q78" s="8" t="n">
        <f aca="false">P78/1024/1024</f>
        <v>0</v>
      </c>
      <c r="R78" s="9" t="n">
        <f aca="false">P78/P$86</f>
        <v>0</v>
      </c>
    </row>
    <row r="79" customFormat="false" ht="12.8" hidden="false" customHeight="false" outlineLevel="0" collapsed="false">
      <c r="A79" s="1" t="n">
        <v>76</v>
      </c>
      <c r="B79" s="1" t="s">
        <v>220</v>
      </c>
      <c r="C79" s="1" t="n">
        <v>5</v>
      </c>
      <c r="D79" s="1" t="n">
        <v>5</v>
      </c>
      <c r="E79" s="1" t="n">
        <v>1</v>
      </c>
      <c r="F79" s="1" t="n">
        <v>1</v>
      </c>
      <c r="G79" s="1" t="s">
        <v>23</v>
      </c>
      <c r="H79" s="1" t="n">
        <f aca="false">H78/E79</f>
        <v>7</v>
      </c>
      <c r="I79" s="1" t="n">
        <f aca="false">I78/F79</f>
        <v>7</v>
      </c>
      <c r="J79" s="1" t="n">
        <v>128</v>
      </c>
      <c r="K79" s="1" t="n">
        <f aca="false">H79*I79*J79</f>
        <v>6272</v>
      </c>
      <c r="L79" s="3" t="n">
        <f aca="false">C79*D79*J78*J79</f>
        <v>153600</v>
      </c>
      <c r="M79" s="10"/>
      <c r="N79" s="8" t="n">
        <f aca="false">M79/1024</f>
        <v>0</v>
      </c>
      <c r="O79" s="3" t="n">
        <f aca="false">L79*H79*I79</f>
        <v>7526400</v>
      </c>
      <c r="P79" s="8"/>
      <c r="Q79" s="8" t="n">
        <f aca="false">P79/1024/1024</f>
        <v>0</v>
      </c>
      <c r="R79" s="9" t="n">
        <f aca="false">P79/P$86</f>
        <v>0</v>
      </c>
    </row>
    <row r="80" customFormat="false" ht="12.8" hidden="false" customHeight="false" outlineLevel="0" collapsed="false">
      <c r="A80" s="1" t="n">
        <v>77</v>
      </c>
      <c r="B80" s="1" t="s">
        <v>221</v>
      </c>
      <c r="C80" s="1" t="n">
        <v>3</v>
      </c>
      <c r="D80" s="1" t="n">
        <v>3</v>
      </c>
      <c r="E80" s="1" t="n">
        <v>1</v>
      </c>
      <c r="F80" s="1" t="n">
        <v>1</v>
      </c>
      <c r="G80" s="1" t="s">
        <v>23</v>
      </c>
      <c r="H80" s="1" t="n">
        <f aca="false">H74/E80</f>
        <v>7</v>
      </c>
      <c r="I80" s="1" t="n">
        <f aca="false">I74/F80</f>
        <v>7</v>
      </c>
      <c r="J80" s="1" t="n">
        <f aca="false">J74</f>
        <v>832</v>
      </c>
      <c r="K80" s="1" t="n">
        <f aca="false">H80*I80*J80</f>
        <v>40768</v>
      </c>
      <c r="L80" s="3"/>
      <c r="M80" s="10"/>
      <c r="N80" s="8" t="n">
        <f aca="false">M80/1024</f>
        <v>0</v>
      </c>
      <c r="O80" s="3"/>
      <c r="P80" s="8"/>
      <c r="Q80" s="8" t="n">
        <f aca="false">P80/1024/1024</f>
        <v>0</v>
      </c>
      <c r="R80" s="9" t="n">
        <f aca="false">P80/P$86</f>
        <v>0</v>
      </c>
    </row>
    <row r="81" customFormat="false" ht="12.8" hidden="false" customHeight="false" outlineLevel="0" collapsed="false">
      <c r="A81" s="1" t="n">
        <v>78</v>
      </c>
      <c r="B81" s="1" t="s">
        <v>222</v>
      </c>
      <c r="C81" s="1" t="n">
        <v>1</v>
      </c>
      <c r="D81" s="1" t="n">
        <v>1</v>
      </c>
      <c r="E81" s="1" t="n">
        <v>1</v>
      </c>
      <c r="F81" s="1" t="n">
        <v>1</v>
      </c>
      <c r="G81" s="1" t="s">
        <v>23</v>
      </c>
      <c r="H81" s="1" t="n">
        <f aca="false">H80/E81</f>
        <v>7</v>
      </c>
      <c r="I81" s="1" t="n">
        <f aca="false">I80/F81</f>
        <v>7</v>
      </c>
      <c r="J81" s="1" t="n">
        <v>128</v>
      </c>
      <c r="K81" s="1" t="n">
        <f aca="false">H81*I81*J81</f>
        <v>6272</v>
      </c>
      <c r="L81" s="3" t="n">
        <f aca="false">C81*D81*J80*J81</f>
        <v>106496</v>
      </c>
      <c r="M81" s="10"/>
      <c r="N81" s="8" t="n">
        <f aca="false">M81/1024</f>
        <v>0</v>
      </c>
      <c r="O81" s="3" t="n">
        <f aca="false">L81*H81*I81</f>
        <v>5218304</v>
      </c>
      <c r="P81" s="8"/>
      <c r="Q81" s="8" t="n">
        <f aca="false">P81/1024/1024</f>
        <v>0</v>
      </c>
      <c r="R81" s="9" t="n">
        <f aca="false">P81/P$86</f>
        <v>0</v>
      </c>
    </row>
    <row r="82" customFormat="false" ht="12.8" hidden="false" customHeight="false" outlineLevel="0" collapsed="false">
      <c r="A82" s="1" t="n">
        <v>79</v>
      </c>
      <c r="B82" s="1" t="s">
        <v>223</v>
      </c>
      <c r="H82" s="1" t="n">
        <f aca="false">H81</f>
        <v>7</v>
      </c>
      <c r="I82" s="1" t="n">
        <f aca="false">I81</f>
        <v>7</v>
      </c>
      <c r="J82" s="1" t="n">
        <f aca="false">J75+J77+J79+J81</f>
        <v>1024</v>
      </c>
      <c r="K82" s="1" t="n">
        <f aca="false">H82*I82*J82</f>
        <v>50176</v>
      </c>
      <c r="L82" s="3"/>
      <c r="M82" s="10"/>
      <c r="N82" s="8" t="n">
        <f aca="false">M82/1024</f>
        <v>0</v>
      </c>
      <c r="O82" s="3"/>
      <c r="P82" s="8"/>
      <c r="Q82" s="8" t="n">
        <f aca="false">P82/1024/1024</f>
        <v>0</v>
      </c>
      <c r="R82" s="9" t="n">
        <f aca="false">P82/P$86</f>
        <v>0</v>
      </c>
    </row>
    <row r="83" customFormat="false" ht="12.8" hidden="false" customHeight="false" outlineLevel="0" collapsed="false">
      <c r="A83" s="1" t="n">
        <v>80</v>
      </c>
      <c r="B83" s="1" t="s">
        <v>224</v>
      </c>
      <c r="C83" s="1" t="n">
        <v>7</v>
      </c>
      <c r="D83" s="1" t="n">
        <v>7</v>
      </c>
      <c r="H83" s="1" t="n">
        <f aca="false">H82/C83</f>
        <v>1</v>
      </c>
      <c r="I83" s="1" t="n">
        <f aca="false">I82/D83</f>
        <v>1</v>
      </c>
      <c r="J83" s="1" t="n">
        <f aca="false">J82</f>
        <v>1024</v>
      </c>
      <c r="K83" s="1" t="n">
        <f aca="false">H83*I83*J83</f>
        <v>1024</v>
      </c>
      <c r="L83" s="3"/>
      <c r="N83" s="3"/>
      <c r="Q83" s="3"/>
      <c r="R83" s="4"/>
    </row>
    <row r="84" customFormat="false" ht="12.8" hidden="false" customHeight="false" outlineLevel="0" collapsed="false">
      <c r="A84" s="1" t="n">
        <v>81</v>
      </c>
      <c r="B84" s="1" t="s">
        <v>225</v>
      </c>
      <c r="H84" s="1" t="n">
        <f aca="false">H83</f>
        <v>1</v>
      </c>
      <c r="I84" s="1" t="n">
        <f aca="false">I83</f>
        <v>1</v>
      </c>
      <c r="J84" s="1" t="n">
        <f aca="false">J83</f>
        <v>1024</v>
      </c>
      <c r="K84" s="1" t="n">
        <f aca="false">H84*I84*J84</f>
        <v>1024</v>
      </c>
      <c r="L84" s="3"/>
      <c r="N84" s="3"/>
      <c r="Q84" s="3"/>
      <c r="R84" s="4"/>
    </row>
    <row r="85" customFormat="false" ht="12.8" hidden="false" customHeight="false" outlineLevel="0" collapsed="false">
      <c r="A85" s="1" t="n">
        <v>82</v>
      </c>
      <c r="B85" s="1" t="s">
        <v>226</v>
      </c>
      <c r="C85" s="1" t="n">
        <v>1</v>
      </c>
      <c r="D85" s="1" t="n">
        <v>1</v>
      </c>
      <c r="E85" s="1" t="n">
        <v>1</v>
      </c>
      <c r="F85" s="1" t="n">
        <v>1</v>
      </c>
      <c r="G85" s="1" t="s">
        <v>23</v>
      </c>
      <c r="H85" s="1" t="n">
        <f aca="false">H84/E85</f>
        <v>1</v>
      </c>
      <c r="I85" s="1" t="n">
        <f aca="false">I84/F85</f>
        <v>1</v>
      </c>
      <c r="J85" s="1" t="n">
        <v>1000</v>
      </c>
      <c r="K85" s="1" t="n">
        <f aca="false">H85*I85*J85</f>
        <v>1000</v>
      </c>
      <c r="L85" s="3" t="n">
        <f aca="false">C85*D85*J84*J85</f>
        <v>1024000</v>
      </c>
      <c r="M85" s="3" t="n">
        <f aca="false">L85</f>
        <v>1024000</v>
      </c>
      <c r="N85" s="3" t="n">
        <f aca="false">M85/1024</f>
        <v>1000</v>
      </c>
      <c r="O85" s="3" t="n">
        <f aca="false">L85*H85*I85</f>
        <v>1024000</v>
      </c>
      <c r="P85" s="3" t="n">
        <f aca="false">O85</f>
        <v>1024000</v>
      </c>
      <c r="Q85" s="3" t="n">
        <f aca="false">P85/1024/1024</f>
        <v>0.9765625</v>
      </c>
      <c r="R85" s="4" t="n">
        <f aca="false">P85/P$86</f>
        <v>0.000647007139076773</v>
      </c>
    </row>
    <row r="86" customFormat="false" ht="12.8" hidden="false" customHeight="false" outlineLevel="0" collapsed="false">
      <c r="A86" s="6" t="s">
        <v>34</v>
      </c>
      <c r="B86" s="6"/>
      <c r="C86" s="6"/>
      <c r="D86" s="6"/>
      <c r="E86" s="6"/>
      <c r="F86" s="6"/>
      <c r="G86" s="6"/>
      <c r="H86" s="6"/>
      <c r="I86" s="6"/>
      <c r="J86" s="6"/>
      <c r="K86" s="6"/>
      <c r="L86" s="3" t="n">
        <f aca="false">SUM(L3:L85)</f>
        <v>6990272</v>
      </c>
      <c r="M86" s="3" t="n">
        <f aca="false">L86</f>
        <v>6990272</v>
      </c>
      <c r="N86" s="3" t="n">
        <f aca="false">M86/1024</f>
        <v>6826.4375</v>
      </c>
      <c r="O86" s="3" t="n">
        <f aca="false">SUM(O3:O85)</f>
        <v>1582671872</v>
      </c>
      <c r="P86" s="3" t="n">
        <f aca="false">O86</f>
        <v>1582671872</v>
      </c>
      <c r="Q86" s="3" t="n">
        <f aca="false">P86/1024/1024</f>
        <v>1509.353515625</v>
      </c>
    </row>
  </sheetData>
  <mergeCells count="6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N1"/>
    <mergeCell ref="O1:Q1"/>
    <mergeCell ref="R1:R2"/>
    <mergeCell ref="M6:M7"/>
    <mergeCell ref="N6:N7"/>
    <mergeCell ref="P6:P7"/>
    <mergeCell ref="Q6:Q7"/>
    <mergeCell ref="R6:R7"/>
    <mergeCell ref="M9:M16"/>
    <mergeCell ref="N9:N16"/>
    <mergeCell ref="P9:P16"/>
    <mergeCell ref="Q9:Q16"/>
    <mergeCell ref="R9:R16"/>
    <mergeCell ref="M17:M24"/>
    <mergeCell ref="N17:N24"/>
    <mergeCell ref="P17:P24"/>
    <mergeCell ref="Q17:Q24"/>
    <mergeCell ref="R17:R24"/>
    <mergeCell ref="M26:M33"/>
    <mergeCell ref="N26:N33"/>
    <mergeCell ref="P26:P33"/>
    <mergeCell ref="Q26:Q33"/>
    <mergeCell ref="R26:R33"/>
    <mergeCell ref="M34:M41"/>
    <mergeCell ref="N34:N41"/>
    <mergeCell ref="P34:P41"/>
    <mergeCell ref="Q34:Q41"/>
    <mergeCell ref="R34:R41"/>
    <mergeCell ref="M42:M49"/>
    <mergeCell ref="N42:N49"/>
    <mergeCell ref="P42:P49"/>
    <mergeCell ref="Q42:Q49"/>
    <mergeCell ref="R42:R49"/>
    <mergeCell ref="M50:M57"/>
    <mergeCell ref="N50:N57"/>
    <mergeCell ref="P50:P57"/>
    <mergeCell ref="Q50:Q57"/>
    <mergeCell ref="R50:R57"/>
    <mergeCell ref="M58:M65"/>
    <mergeCell ref="N58:N65"/>
    <mergeCell ref="P58:P65"/>
    <mergeCell ref="Q58:Q65"/>
    <mergeCell ref="R58:R65"/>
    <mergeCell ref="M67:M74"/>
    <mergeCell ref="N67:N74"/>
    <mergeCell ref="P67:P74"/>
    <mergeCell ref="Q67:Q74"/>
    <mergeCell ref="R67:R74"/>
    <mergeCell ref="M75:M82"/>
    <mergeCell ref="N75:N82"/>
    <mergeCell ref="P75:P82"/>
    <mergeCell ref="Q75:Q82"/>
    <mergeCell ref="R75:R82"/>
    <mergeCell ref="A86:K8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578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2018-11-14T19:25:03Z</dcterms:created>
  <dc:creator/>
  <dc:description/>
  <dc:language>en-US</dc:language>
  <cp:lastModifiedBy/>
  <dcterms:modified xsi:type="dcterms:W3CDTF">2018-12-03T20:55:56Z</dcterms:modified>
  <cp:revision>379</cp:revision>
  <dc:subject/>
  <dc:title/>
</cp:coreProperties>
</file>